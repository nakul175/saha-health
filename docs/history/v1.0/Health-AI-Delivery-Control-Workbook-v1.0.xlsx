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9283e946dc4654" /></Relationships>
</file>

<file path=xl/workbook.xml><?xml version="1.0" encoding="utf-8"?>
<x:workbook xmlns:x="http://schemas.openxmlformats.org/spreadsheetml/2006/main">
  <x:sheets>
    <x:sheet xmlns:r="http://schemas.openxmlformats.org/officeDocument/2006/relationships" name="Summary" sheetId="1" r:id="R52edc92913454fe8"/>
    <x:sheet xmlns:r="http://schemas.openxmlformats.org/officeDocument/2006/relationships" name="Requirements" sheetId="2" r:id="R2832520c952e4f08"/>
    <x:sheet xmlns:r="http://schemas.openxmlformats.org/officeDocument/2006/relationships" name="Test Catalogue" sheetId="3" r:id="Rdfee668f52ae4f29"/>
    <x:sheet xmlns:r="http://schemas.openxmlformats.org/officeDocument/2006/relationships" name="Engineering Backlog" sheetId="4" r:id="R6cddd31a201c45d5"/>
    <x:sheet xmlns:r="http://schemas.openxmlformats.org/officeDocument/2006/relationships" name="Work Packages" sheetId="5" r:id="R66a90c191d964cf1"/>
    <x:sheet xmlns:r="http://schemas.openxmlformats.org/officeDocument/2006/relationships" name="Screens" sheetId="6" r:id="Ra4784f60298246a5"/>
    <x:sheet xmlns:r="http://schemas.openxmlformats.org/officeDocument/2006/relationships" name="Data Dictionary" sheetId="7" r:id="R9cfcb4139a754daf"/>
    <x:sheet xmlns:r="http://schemas.openxmlformats.org/officeDocument/2006/relationships" name="API Catalogue" sheetId="8" r:id="R42e6a9561864424b"/>
    <x:sheet xmlns:r="http://schemas.openxmlformats.org/officeDocument/2006/relationships" name="Events" sheetId="9" r:id="Re2f2e774b02a44f4"/>
    <x:sheet xmlns:r="http://schemas.openxmlformats.org/officeDocument/2006/relationships" name="Access Matrix" sheetId="10" r:id="Rc9ba78e6ac474834"/>
    <x:sheet xmlns:r="http://schemas.openxmlformats.org/officeDocument/2006/relationships" name="Decisions" sheetId="11" r:id="R11986258625841a7"/>
    <x:sheet xmlns:r="http://schemas.openxmlformats.org/officeDocument/2006/relationships" name="Release Gates" sheetId="12" r:id="R11cd11fe12b343c8"/>
    <x:sheet xmlns:r="http://schemas.openxmlformats.org/officeDocument/2006/relationships" name="ADRs" sheetId="13" r:id="R09e5c78c452e49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sz val="10"/>
      <x:color rgb="FF17242D"/>
      <x:name val="Arial"/>
    </x:font>
    <x:font>
      <x:b/>
      <x:sz val="20"/>
      <x:color rgb="FF173A50"/>
      <x:name val="Arial"/>
    </x:font>
    <x:font>
      <x:b/>
      <x:sz val="10"/>
      <x:color rgb="FFFFFFFF"/>
      <x:name val="Arial"/>
    </x:font>
    <x:font>
      <x:sz val="10"/>
      <x:color rgb="FF705000"/>
      <x:name val="Arial"/>
    </x:font>
    <x:font>
      <x:sz val="11"/>
      <x:color rgb="FF17242D"/>
      <x:name val="Arial"/>
    </x:font>
    <x:font>
      <x:b/>
      <x:sz val="23"/>
      <x:color rgb="FF173A50"/>
      <x:name val="Arial"/>
    </x:font>
    <x:font>
      <x:b/>
      <x:sz val="11"/>
      <x:color rgb="FFFFFFFF"/>
      <x:name val="Arial"/>
    </x:font>
    <x:font>
      <x:b/>
      <x:sz val="13"/>
      <x:color rgb="FF173A50"/>
      <x:name val="Arial"/>
    </x:font>
  </x:fonts>
  <x:fills count="6">
    <x:fill>
      <x:patternFill patternType="none"/>
    </x:fill>
    <x:fill>
      <x:patternFill patternType="gray125"/>
    </x:fill>
    <x:fill>
      <x:patternFill patternType="solid">
        <x:fgColor rgb="FF173A50"/>
      </x:patternFill>
    </x:fill>
    <x:fill>
      <x:patternFill patternType="solid">
        <x:fgColor rgb="FFFFFFFF"/>
      </x:patternFill>
    </x:fill>
    <x:fill>
      <x:patternFill patternType="solid">
        <x:fgColor rgb="FFF0F5F8"/>
      </x:patternFill>
    </x:fill>
    <x:fill>
      <x:patternFill patternType="solid">
        <x:fgColor rgb="FFFFF1CF"/>
      </x:patternFill>
    </x:fill>
  </x:fills>
  <x:borders count="1">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8" fillId="4" borderId="0" xfId="0" applyNumberFormat="1" applyFont="1" applyFill="1" applyBorder="1" applyAlignment="1">
      <x:alignment vertical="center" wrapText="1"/>
    </x:xf>
    <x:xf numFmtId="200" fontId="8"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724f7b16064841" /><Relationship Type="http://schemas.openxmlformats.org/officeDocument/2006/relationships/theme" Target="/xl/theme/theme1.xml" Id="Rc97dc85d037843d4" /><Relationship Type="http://schemas.openxmlformats.org/officeDocument/2006/relationships/sharedStrings" Target="/xl/sharedStrings.xml" Id="R9a1c93d7d2de4a8e" /><Relationship Type="http://schemas.openxmlformats.org/officeDocument/2006/relationships/worksheet" Target="/xl/worksheets/sheet1.xml" Id="R52edc92913454fe8" /><Relationship Type="http://schemas.openxmlformats.org/officeDocument/2006/relationships/worksheet" Target="/xl/worksheets/sheet2.xml" Id="R2832520c952e4f08" /><Relationship Type="http://schemas.openxmlformats.org/officeDocument/2006/relationships/worksheet" Target="/xl/worksheets/sheet3.xml" Id="Rdfee668f52ae4f29" /><Relationship Type="http://schemas.openxmlformats.org/officeDocument/2006/relationships/worksheet" Target="/xl/worksheets/sheet4.xml" Id="R6cddd31a201c45d5" /><Relationship Type="http://schemas.openxmlformats.org/officeDocument/2006/relationships/worksheet" Target="/xl/worksheets/sheet5.xml" Id="R66a90c191d964cf1" /><Relationship Type="http://schemas.openxmlformats.org/officeDocument/2006/relationships/worksheet" Target="/xl/worksheets/sheet6.xml" Id="Ra4784f60298246a5" /><Relationship Type="http://schemas.openxmlformats.org/officeDocument/2006/relationships/worksheet" Target="/xl/worksheets/sheet7.xml" Id="R9cfcb4139a754daf" /><Relationship Type="http://schemas.openxmlformats.org/officeDocument/2006/relationships/worksheet" Target="/xl/worksheets/sheet8.xml" Id="R42e6a9561864424b" /><Relationship Type="http://schemas.openxmlformats.org/officeDocument/2006/relationships/worksheet" Target="/xl/worksheets/sheet9.xml" Id="Re2f2e774b02a44f4" /><Relationship Type="http://schemas.openxmlformats.org/officeDocument/2006/relationships/worksheet" Target="/xl/worksheets/sheet10.xml" Id="Rc9ba78e6ac474834" /><Relationship Type="http://schemas.openxmlformats.org/officeDocument/2006/relationships/worksheet" Target="/xl/worksheets/sheet11.xml" Id="R11986258625841a7" /><Relationship Type="http://schemas.openxmlformats.org/officeDocument/2006/relationships/worksheet" Target="/xl/worksheets/sheet12.xml" Id="R11cd11fe12b343c8" /><Relationship Type="http://schemas.openxmlformats.org/officeDocument/2006/relationships/worksheet" Target="/xl/worksheets/sheet13.xml" Id="R09e5c78c452e4965" /></Relationships>
</file>

<file path=xl/tables/table1.xml><?xml version="1.0" encoding="utf-8"?>
<x:table xmlns:x="http://schemas.openxmlformats.org/spreadsheetml/2006/main" id="1" name="HAO1" displayName="HAO1" ref="A5:N181" headerRowCount="1" totalsRowCount="0" totalsRowShown="0">
  <x:tableColumns count="14">
    <x:tableColumn id="1" name="BRD ID"/>
    <x:tableColumn id="2" name="Title"/>
    <x:tableColumn id="3" name="Priority"/>
    <x:tableColumn id="4" name="Release"/>
    <x:tableColumn id="5" name="Design ID"/>
    <x:tableColumn id="6" name="Document section"/>
    <x:tableColumn id="7" name="Screens"/>
    <x:tableColumn id="8" name="Components"/>
    <x:tableColumn id="9" name="Related APIs"/>
    <x:tableColumn id="10" name="Work package"/>
    <x:tableColumn id="11" name="Tests"/>
    <x:tableColumn id="12" name="Design status"/>
    <x:tableColumn id="13" name="Build status"/>
    <x:tableColumn id="14" name="Test status"/>
  </x:tableColumns>
  <x:tableStyleInfo name="TableStyleMedium2" showFirstColumn="0" showLastColumn="0" showRowStripes="1" showColumnStripes="0"/>
</x:table>
</file>

<file path=xl/tables/table2.xml><?xml version="1.0" encoding="utf-8"?>
<x:table xmlns:x="http://schemas.openxmlformats.org/spreadsheetml/2006/main" id="2" name="HAO2" displayName="HAO2" ref="A5:P369" headerRowCount="1" totalsRowCount="0" totalsRowShown="0">
  <x:tableColumns count="16">
    <x:tableColumn id="1" name="Test ID"/>
    <x:tableColumn id="2" name="BRD IDs"/>
    <x:tableColumn id="3" name="Design ID"/>
    <x:tableColumn id="4" name="Title"/>
    <x:tableColumn id="5" name="Type"/>
    <x:tableColumn id="6" name="Priority"/>
    <x:tableColumn id="7" name="Release"/>
    <x:tableColumn id="8" name="Fixture"/>
    <x:tableColumn id="9" name="Preconditions"/>
    <x:tableColumn id="10" name="Steps"/>
    <x:tableColumn id="11" name="Expected result"/>
    <x:tableColumn id="12" name="Status"/>
    <x:tableColumn id="13" name="Owner role"/>
    <x:tableColumn id="14" name="Evidence link"/>
    <x:tableColumn id="15" name="Defect ID"/>
    <x:tableColumn id="16" name="Evidence present"/>
  </x:tableColumns>
  <x:tableStyleInfo name="TableStyleMedium2" showFirstColumn="0" showLastColumn="0" showRowStripes="1" showColumnStripes="0"/>
</x:table>
</file>

<file path=xl/tables/table3.xml><?xml version="1.0" encoding="utf-8"?>
<x:table xmlns:x="http://schemas.openxmlformats.org/spreadsheetml/2006/main" id="3" name="HAO3" displayName="HAO3" ref="A5:N181" headerRowCount="1" totalsRowCount="0" totalsRowShown="0">
  <x:tableColumns count="14">
    <x:tableColumn id="1" name="Task ID"/>
    <x:tableColumn id="2" name="Work package"/>
    <x:tableColumn id="3" name="BRD ID"/>
    <x:tableColumn id="4" name="Design ID"/>
    <x:tableColumn id="5" name="Title"/>
    <x:tableColumn id="6" name="Implementation outcome"/>
    <x:tableColumn id="7" name="Release"/>
    <x:tableColumn id="8" name="Priority"/>
    <x:tableColumn id="9" name="Status"/>
    <x:tableColumn id="10" name="Owner role"/>
    <x:tableColumn id="11" name="Dependencies"/>
    <x:tableColumn id="12" name="Acceptance tests"/>
    <x:tableColumn id="13" name="Estimate"/>
    <x:tableColumn id="14" name="Notes"/>
  </x:tableColumns>
  <x:tableStyleInfo name="TableStyleMedium2" showFirstColumn="0" showLastColumn="0" showRowStripes="1" showColumnStripes="0"/>
</x:table>
</file>

<file path=xl/tables/table4.xml><?xml version="1.0" encoding="utf-8"?>
<x:table xmlns:x="http://schemas.openxmlformats.org/spreadsheetml/2006/main" id="4" name="HAO4" displayName="HAO4" ref="A5:F16" headerRowCount="1" totalsRowCount="0" totalsRowShown="0">
  <x:tableColumns count="6">
    <x:tableColumn id="1" name="ID"/>
    <x:tableColumn id="2" name="Work package"/>
    <x:tableColumn id="3" name="Release"/>
    <x:tableColumn id="4" name="Owner role"/>
    <x:tableColumn id="5" name="Dependencies"/>
    <x:tableColumn id="6" name="Outcome"/>
  </x:tableColumns>
  <x:tableStyleInfo name="TableStyleMedium2" showFirstColumn="0" showLastColumn="0" showRowStripes="1" showColumnStripes="0"/>
</x:table>
</file>

<file path=xl/tables/table5.xml><?xml version="1.0" encoding="utf-8"?>
<x:table xmlns:x="http://schemas.openxmlformats.org/spreadsheetml/2006/main" id="5" name="HAO5" displayName="HAO5" ref="A5:G27" headerRowCount="1" totalsRowCount="0" totalsRowShown="0">
  <x:tableColumns count="7">
    <x:tableColumn id="1" name="Screen ID"/>
    <x:tableColumn id="2" name="Name"/>
    <x:tableColumn id="3" name="User"/>
    <x:tableColumn id="4" name="Purpose"/>
    <x:tableColumn id="5" name="Fields"/>
    <x:tableColumn id="6" name="Actions"/>
    <x:tableColumn id="7" name="Boundary"/>
  </x:tableColumns>
  <x:tableStyleInfo name="TableStyleMedium2" showFirstColumn="0" showLastColumn="0" showRowStripes="1" showColumnStripes="0"/>
</x:table>
</file>

<file path=xl/tables/table6.xml><?xml version="1.0" encoding="utf-8"?>
<x:table xmlns:x="http://schemas.openxmlformats.org/spreadsheetml/2006/main" id="6" name="HAO6" displayName="HAO6" ref="A5:I412" headerRowCount="1" totalsRowCount="0" totalsRowShown="0">
  <x:tableColumns count="9">
    <x:tableColumn id="1" name="Entity"/>
    <x:tableColumn id="2" name="Field"/>
    <x:tableColumn id="3" name="Database type"/>
    <x:tableColumn id="4" name="Presence"/>
    <x:tableColumn id="5" name="Meaning or constraint"/>
    <x:tableColumn id="6" name="Classification"/>
    <x:tableColumn id="7" name="Source"/>
    <x:tableColumn id="8" name="Provenance rule"/>
    <x:tableColumn id="9" name="Retention"/>
  </x:tableColumns>
  <x:tableStyleInfo name="TableStyleMedium2" showFirstColumn="0" showLastColumn="0" showRowStripes="1" showColumnStripes="0"/>
</x:table>
</file>

<file path=xl/tables/table7.xml><?xml version="1.0" encoding="utf-8"?>
<x:table xmlns:x="http://schemas.openxmlformats.org/spreadsheetml/2006/main" id="7" name="HAO7" displayName="HAO7" ref="A5:I79" headerRowCount="1" totalsRowCount="0" totalsRowShown="0">
  <x:tableColumns count="9">
    <x:tableColumn id="1" name="ID"/>
    <x:tableColumn id="2" name="Operation"/>
    <x:tableColumn id="3" name="Method"/>
    <x:tableColumn id="4" name="Path"/>
    <x:tableColumn id="5" name="Input schema"/>
    <x:tableColumn id="6" name="Response schema"/>
    <x:tableColumn id="7" name="Version precondition"/>
    <x:tableColumn id="8" name="BR family"/>
    <x:tableColumn id="9" name="Meaning"/>
  </x:tableColumns>
  <x:tableStyleInfo name="TableStyleMedium2" showFirstColumn="0" showLastColumn="0" showRowStripes="1" showColumnStripes="0"/>
</x:table>
</file>

<file path=xl/tables/table8.xml><?xml version="1.0" encoding="utf-8"?>
<x:table xmlns:x="http://schemas.openxmlformats.org/spreadsheetml/2006/main" id="8" name="HAO8" displayName="HAO8" ref="A5:F21" headerRowCount="1" totalsRowCount="0" totalsRowShown="0">
  <x:tableColumns count="6">
    <x:tableColumn id="1" name="ID"/>
    <x:tableColumn id="2" name="Event name"/>
    <x:tableColumn id="3" name="Resource"/>
    <x:tableColumn id="4" name="Schema version"/>
    <x:tableColumn id="5" name="Delivery"/>
    <x:tableColumn id="6" name="Deduplication key"/>
  </x:tableColumns>
  <x:tableStyleInfo name="TableStyleMedium2" showFirstColumn="0" showLastColumn="0" showRowStripes="1" showColumnStripes="0"/>
</x:table>
</file>

<file path=xl/tables/table9.xml><?xml version="1.0" encoding="utf-8"?>
<x:table xmlns:x="http://schemas.openxmlformats.org/spreadsheetml/2006/main" id="9" name="HAO9" displayName="HAO9" ref="A5:L25" headerRowCount="1" totalsRowCount="0" totalsRowShown="0">
  <x:tableColumns count="12">
    <x:tableColumn id="1" name="Action"/>
    <x:tableColumn id="2" name="Frontline worker"/>
    <x:tableColumn id="3" name="Supervisor"/>
    <x:tableColumn id="4" name="Clinician"/>
    <x:tableColumn id="5" name="Programme owner"/>
    <x:tableColumn id="6" name="AI governance"/>
    <x:tableColumn id="7" name="Integration operator"/>
    <x:tableColumn id="8" name="Deployment admin"/>
    <x:tableColumn id="9" name="Auditor"/>
    <x:tableColumn id="10" name="Support"/>
    <x:tableColumn id="11" name="Privacy lead"/>
    <x:tableColumn id="12" name="Condition"/>
  </x:tableColumns>
  <x:tableStyleInfo name="TableStyleMedium2" showFirstColumn="0" showLastColumn="0" showRowStripes="1" showColumnStripes="0"/>
</x:table>
</file>

<file path=xl/tables/table10.xml><?xml version="1.0" encoding="utf-8"?>
<x:table xmlns:x="http://schemas.openxmlformats.org/spreadsheetml/2006/main" id="10" name="HAO10" displayName="HAO10" ref="A5:G26" headerRowCount="1" totalsRowCount="0" totalsRowShown="0">
  <x:tableColumns count="7">
    <x:tableColumn id="1" name="ID"/>
    <x:tableColumn id="2" name="Decision"/>
    <x:tableColumn id="3" name="Proposed baseline"/>
    <x:tableColumn id="4" name="Owner role"/>
    <x:tableColumn id="5" name="Required before"/>
    <x:tableColumn id="6" name="Closure evidence"/>
    <x:tableColumn id="7" name="Status"/>
  </x:tableColumns>
  <x:tableStyleInfo name="TableStyleMedium2" showFirstColumn="0" showLastColumn="0" showRowStripes="1" showColumnStripes="0"/>
</x:table>
</file>

<file path=xl/tables/table11.xml><?xml version="1.0" encoding="utf-8"?>
<x:table xmlns:x="http://schemas.openxmlformats.org/spreadsheetml/2006/main" id="11" name="HAO11" displayName="HAO11" ref="A5:F13" headerRowCount="1" totalsRowCount="0" totalsRowShown="0">
  <x:tableColumns count="6">
    <x:tableColumn id="1" name="ID"/>
    <x:tableColumn id="2" name="Gate"/>
    <x:tableColumn id="3" name="Accountable role"/>
    <x:tableColumn id="4" name="Criteria"/>
    <x:tableColumn id="5" name="Evidence"/>
    <x:tableColumn id="6" name="Status"/>
  </x:tableColumns>
  <x:tableStyleInfo name="TableStyleMedium2" showFirstColumn="0" showLastColumn="0" showRowStripes="1" showColumnStripes="0"/>
</x:table>
</file>

<file path=xl/tables/table12.xml><?xml version="1.0" encoding="utf-8"?>
<x:table xmlns:x="http://schemas.openxmlformats.org/spreadsheetml/2006/main" id="12" name="HAO12" displayName="HAO12" ref="A5:F17" headerRowCount="1" totalsRowCount="0" totalsRowShown="0">
  <x:tableColumns count="6">
    <x:tableColumn id="1" name="ID"/>
    <x:tableColumn id="2" name="Decision"/>
    <x:tableColumn id="3" name="Selected baseline"/>
    <x:tableColumn id="4" name="Reason"/>
    <x:tableColumn id="5" name="Consequence"/>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e5dbc6c1424cc1" /></Relationships>
</file>

<file path=xl/worksheets/_rels/sheet3.xml.rels>&#65279;<?xml version="1.0" encoding="utf-8"?><Relationships xmlns="http://schemas.openxmlformats.org/package/2006/relationships"><Relationship Type="http://schemas.openxmlformats.org/officeDocument/2006/relationships/table" Target="/xl/tables/table2.xml" Id="R8b41598f77c3459f" /></Relationships>
</file>

<file path=xl/worksheets/_rels/sheet4.xml.rels>&#65279;<?xml version="1.0" encoding="utf-8"?><Relationships xmlns="http://schemas.openxmlformats.org/package/2006/relationships"><Relationship Type="http://schemas.openxmlformats.org/officeDocument/2006/relationships/table" Target="/xl/tables/table3.xml" Id="R0b31564f5ca64dc1" /></Relationships>
</file>

<file path=xl/worksheets/_rels/sheet5.xml.rels>&#65279;<?xml version="1.0" encoding="utf-8"?><Relationships xmlns="http://schemas.openxmlformats.org/package/2006/relationships"><Relationship Type="http://schemas.openxmlformats.org/officeDocument/2006/relationships/table" Target="/xl/tables/table4.xml" Id="Rfb53c69e84284fad" /></Relationships>
</file>

<file path=xl/worksheets/_rels/sheet6.xml.rels>&#65279;<?xml version="1.0" encoding="utf-8"?><Relationships xmlns="http://schemas.openxmlformats.org/package/2006/relationships"><Relationship Type="http://schemas.openxmlformats.org/officeDocument/2006/relationships/table" Target="/xl/tables/table5.xml" Id="R78682603a9914a63" /></Relationships>
</file>

<file path=xl/worksheets/_rels/sheet7.xml.rels>&#65279;<?xml version="1.0" encoding="utf-8"?><Relationships xmlns="http://schemas.openxmlformats.org/package/2006/relationships"><Relationship Type="http://schemas.openxmlformats.org/officeDocument/2006/relationships/table" Target="/xl/tables/table6.xml" Id="R5cb8874bd83e4cc0" /></Relationships>
</file>

<file path=xl/worksheets/_rels/sheet8.xml.rels>&#65279;<?xml version="1.0" encoding="utf-8"?><Relationships xmlns="http://schemas.openxmlformats.org/package/2006/relationships"><Relationship Type="http://schemas.openxmlformats.org/officeDocument/2006/relationships/table" Target="/xl/tables/table7.xml" Id="R04c295c1fe1b4eb5" /></Relationships>
</file>

<file path=xl/worksheets/_rels/sheet9.xml.rels>&#65279;<?xml version="1.0" encoding="utf-8"?><Relationships xmlns="http://schemas.openxmlformats.org/package/2006/relationships"><Relationship Type="http://schemas.openxmlformats.org/officeDocument/2006/relationships/table" Target="/xl/tables/table8.xml" Id="R3d42654c7fab44d1" /></Relationships>
</file>

<file path=xl/worksheets/_rels/sheet10.xml.rels>&#65279;<?xml version="1.0" encoding="utf-8"?><Relationships xmlns="http://schemas.openxmlformats.org/package/2006/relationships"><Relationship Type="http://schemas.openxmlformats.org/officeDocument/2006/relationships/table" Target="/xl/tables/table9.xml" Id="R83bc7571e79c48ce" /></Relationships>
</file>

<file path=xl/worksheets/_rels/sheet11.xml.rels>&#65279;<?xml version="1.0" encoding="utf-8"?><Relationships xmlns="http://schemas.openxmlformats.org/package/2006/relationships"><Relationship Type="http://schemas.openxmlformats.org/officeDocument/2006/relationships/table" Target="/xl/tables/table10.xml" Id="R7fe79f4adb9040d5" /></Relationships>
</file>

<file path=xl/worksheets/_rels/sheet12.xml.rels>&#65279;<?xml version="1.0" encoding="utf-8"?><Relationships xmlns="http://schemas.openxmlformats.org/package/2006/relationships"><Relationship Type="http://schemas.openxmlformats.org/officeDocument/2006/relationships/table" Target="/xl/tables/table11.xml" Id="Rf4e6af906a2e4a4f" /></Relationships>
</file>

<file path=xl/worksheets/_rels/sheet13.xml.rels>&#65279;<?xml version="1.0" encoding="utf-8"?><Relationships xmlns="http://schemas.openxmlformats.org/package/2006/relationships"><Relationship Type="http://schemas.openxmlformats.org/officeDocument/2006/relationships/table" Target="/xl/tables/table12.xml" Id="Rbc785deaff9041b5" /></Relationships>
</file>

<file path=xl/worksheets/sheet1.xml><?xml version="1.0" encoding="utf-8"?>
<x:worksheet xmlns:x="http://schemas.openxmlformats.org/spreadsheetml/2006/main">
  <x:sheetPr>
    <x:tabColor rgb="FF173A50"/>
  </x:sheetPr>
  <x:sheetViews>
    <x:sheetView showGridLines="0" workbookViewId="0">
      <x:pane ySplit="5" topLeftCell="A6" activePane="bottomLeft" state="frozen"/>
    </x:sheetView>
  </x:sheetViews>
  <x:sheetFormatPr defaultRowHeight="15"/>
  <x:cols>
    <x:col min="1" max="1" width="36.66999816894531" hidden="0" customWidth="1"/>
    <x:col min="2" max="2" width="14.4399995803833" hidden="0" customWidth="1"/>
    <x:col min="3" max="3" width="2.7799999713897705" hidden="0" customWidth="1"/>
    <x:col min="4" max="4" width="20" hidden="0" customWidth="1"/>
    <x:col min="5" max="5" width="20" hidden="0" customWidth="1"/>
    <x:col min="6" max="6" width="20" hidden="0" customWidth="1"/>
  </x:cols>
  <x:sheetData>
    <x:row r="1" ht="33" customHeight="1">
      <x:c r="A1" s="14" t="str">
        <x:v>Health AI delivery control</x:v>
      </x:c>
      <x:c r="B1" s="13"/>
      <x:c r="C1" s="13"/>
      <x:c r="D1" s="13"/>
      <x:c r="E1" s="13"/>
      <x:c r="F1" s="13"/>
    </x:row>
    <x:row r="2" ht="24" customHeight="1">
      <x:c r="A2" s="13" t="str">
        <x:v>v1.0 · BRD v1.1 · 26 September 2026 · Proposed implementation baseline</x:v>
      </x:c>
      <x:c r="B2" s="13"/>
      <x:c r="C2" s="13"/>
      <x:c r="D2" s="13"/>
      <x:c r="E2" s="13"/>
      <x:c r="F2" s="13"/>
    </x:row>
    <x:row r="3" ht="26.25" customHeight="1">
      <x:c r="A3" s="15" t="str">
        <x:v>Specifications are prepared. Application tests and release gates remain unexecuted or open.</x:v>
      </x:c>
      <x:c r="B3" s="13"/>
      <x:c r="C3" s="13"/>
      <x:c r="D3" s="13"/>
      <x:c r="E3" s="13"/>
      <x:c r="F3" s="13"/>
    </x:row>
    <x:row r="4">
      <x:c r="A4" s="13"/>
      <x:c r="B4" s="13"/>
      <x:c r="C4" s="13"/>
      <x:c r="D4" s="13"/>
      <x:c r="E4" s="13"/>
      <x:c r="F4" s="13"/>
    </x:row>
    <x:row r="5" ht="24" customHeight="1">
      <x:c r="A5" s="17" t="str">
        <x:v>Delivery measure</x:v>
      </x:c>
      <x:c r="B5" s="17" t="str">
        <x:v>Current status</x:v>
      </x:c>
      <x:c r="C5" s="13"/>
      <x:c r="D5" s="17" t="str">
        <x:v>How to use this workbook</x:v>
      </x:c>
      <x:c r="E5" s="17"/>
      <x:c r="F5" s="17"/>
    </x:row>
    <x:row r="6" ht="23.25" customHeight="1">
      <x:c r="A6" s="18" t="str">
        <x:v>Source requirements</x:v>
      </x:c>
      <x:c r="B6" s="21" t="n">
        <x:f>COUNTA('Requirements'!A6:A181)</x:f>
        <x:v>176</x:v>
      </x:c>
      <x:c r="C6" s="13"/>
      <x:c r="D6" s="19" t="str">
        <x:v>Start with Requirements to trace BRD IDs into design, screens, components, work packages and tests.</x:v>
      </x:c>
      <x:c r="E6" s="19"/>
      <x:c r="F6" s="19"/>
    </x:row>
    <x:row r="7" ht="23.25" customHeight="1">
      <x:c r="A7" s="19" t="str">
        <x:v>Test definitions</x:v>
      </x:c>
      <x:c r="B7" s="22" t="n">
        <x:f>COUNTA('Test Catalogue'!A6:A369)</x:f>
        <x:v>364</x:v>
      </x:c>
      <x:c r="C7" s="13"/>
      <x:c r="D7" s="19"/>
      <x:c r="E7" s="19"/>
      <x:c r="F7" s="19"/>
    </x:row>
    <x:row r="8" ht="23.25" customHeight="1">
      <x:c r="A8" s="18" t="str">
        <x:v>Passed</x:v>
      </x:c>
      <x:c r="B8" s="21" t="n">
        <x:f>COUNTIF('Test Catalogue'!L6:L369,"Passed")</x:f>
        <x:v>0</x:v>
      </x:c>
      <x:c r="C8" s="13"/>
      <x:c r="D8" s="19"/>
      <x:c r="E8" s="19"/>
      <x:c r="F8" s="19"/>
    </x:row>
    <x:row r="9" ht="23.25" customHeight="1">
      <x:c r="A9" s="19" t="str">
        <x:v>Failed</x:v>
      </x:c>
      <x:c r="B9" s="22" t="n">
        <x:f>COUNTIF('Test Catalogue'!L6:L369,"Failed")</x:f>
        <x:v>0</x:v>
      </x:c>
      <x:c r="C9" s="13"/>
      <x:c r="D9" s="19" t="str">
        <x:v>Execute Test Catalogue rows on an identified build. Set Status and add an access-controlled Evidence link and any Defect ID.</x:v>
      </x:c>
      <x:c r="E9" s="19"/>
      <x:c r="F9" s="19"/>
    </x:row>
    <x:row r="10" ht="23.25" customHeight="1">
      <x:c r="A10" s="18" t="str">
        <x:v>Blocked</x:v>
      </x:c>
      <x:c r="B10" s="21" t="n">
        <x:f>COUNTIF('Test Catalogue'!L6:L369,"Blocked")</x:f>
        <x:v>0</x:v>
      </x:c>
      <x:c r="C10" s="13"/>
      <x:c r="D10" s="19"/>
      <x:c r="E10" s="19"/>
      <x:c r="F10" s="19"/>
    </x:row>
    <x:row r="11" ht="23.25" customHeight="1">
      <x:c r="A11" s="19" t="str">
        <x:v>Not run</x:v>
      </x:c>
      <x:c r="B11" s="22" t="n">
        <x:f>COUNTIF('Test Catalogue'!L6:L369,"Not run")</x:f>
        <x:v>364</x:v>
      </x:c>
      <x:c r="C11" s="13"/>
      <x:c r="D11" s="19"/>
      <x:c r="E11" s="19"/>
      <x:c r="F11" s="19"/>
    </x:row>
    <x:row r="12" ht="23.25" customHeight="1">
      <x:c r="A12" s="18" t="str">
        <x:v>Not applicable</x:v>
      </x:c>
      <x:c r="B12" s="21" t="n">
        <x:f>COUNTIF('Test Catalogue'!L6:L369,"Not applicable")</x:f>
        <x:v>0</x:v>
      </x:c>
      <x:c r="C12" s="13"/>
      <x:c r="D12" s="19" t="str">
        <x:v>Update amber backlog fields for assignee, state and estimate. Done does not automatically mean a release gate is accepted.</x:v>
      </x:c>
      <x:c r="E12" s="19"/>
      <x:c r="F12" s="19"/>
    </x:row>
    <x:row r="13" ht="23.25" customHeight="1">
      <x:c r="A13" s="19" t="str">
        <x:v>Blank or invalid test status</x:v>
      </x:c>
      <x:c r="B13" s="22" t="n">
        <x:f>B7-SUM(B8:B12)</x:f>
        <x:v>0</x:v>
      </x:c>
      <x:c r="C13" s="13"/>
      <x:c r="D13" s="19"/>
      <x:c r="E13" s="19"/>
      <x:c r="F13" s="19"/>
    </x:row>
    <x:row r="14" ht="23.25" customHeight="1">
      <x:c r="A14" s="18" t="str">
        <x:v>Passed tests missing evidence</x:v>
      </x:c>
      <x:c r="B14" s="21" t="n">
        <x:f>B8-COUNTIFS('Test Catalogue'!L6:L369,"Passed",'Test Catalogue'!P6:P369,1)</x:f>
        <x:v>0</x:v>
      </x:c>
      <x:c r="C14" s="13"/>
      <x:c r="D14" s="19"/>
      <x:c r="E14" s="19"/>
      <x:c r="F14" s="19"/>
    </x:row>
    <x:row r="15" ht="23.25" customHeight="1">
      <x:c r="A15" s="19" t="str">
        <x:v>Pass rate of all definitions</x:v>
      </x:c>
      <x:c r="B15" s="23" t="n">
        <x:f>IF(B7=0,0,B8/B7)</x:f>
        <x:v>0</x:v>
      </x:c>
      <x:c r="C15" s="13"/>
      <x:c r="D15" s="19" t="str">
        <x:v>Close Decisions and Release Gates only with accountable owner review. Remaining gates stay visible even after tests pass.</x:v>
      </x:c>
      <x:c r="E15" s="19"/>
      <x:c r="F15" s="19"/>
    </x:row>
    <x:row r="16" ht="23.25" customHeight="1">
      <x:c r="A16" s="18" t="str">
        <x:v>Backlog items</x:v>
      </x:c>
      <x:c r="B16" s="21" t="n">
        <x:f>COUNTA('Engineering Backlog'!A6:A181)</x:f>
        <x:v>176</x:v>
      </x:c>
      <x:c r="C16" s="13"/>
      <x:c r="D16" s="19"/>
      <x:c r="E16" s="19"/>
      <x:c r="F16" s="19"/>
    </x:row>
    <x:row r="17" ht="23.25" customHeight="1">
      <x:c r="A17" s="19" t="str">
        <x:v>Backlog marked done</x:v>
      </x:c>
      <x:c r="B17" s="22" t="n">
        <x:f>COUNTIF('Engineering Backlog'!I6:I181,"Done")</x:f>
        <x:v>0</x:v>
      </x:c>
      <x:c r="C17" s="13"/>
      <x:c r="D17" s="19"/>
      <x:c r="E17" s="19"/>
      <x:c r="F17" s="19"/>
    </x:row>
    <x:row r="18" ht="23.25" customHeight="1">
      <x:c r="A18" s="18" t="str">
        <x:v>Open decisions</x:v>
      </x:c>
      <x:c r="B18" s="21" t="n">
        <x:f>COUNTIF('Decisions'!G6:G26,"Open")</x:f>
        <x:v>21</x:v>
      </x:c>
      <x:c r="C18" s="13"/>
      <x:c r="D18" s="19" t="str">
        <x:v>Pass rate is a simple definition count, not a clinical or production-readiness score. Not applicable requires an approved scope decision.</x:v>
      </x:c>
      <x:c r="E18" s="19"/>
      <x:c r="F18" s="19"/>
    </x:row>
    <x:row r="19" ht="23.25" customHeight="1">
      <x:c r="A19" s="19" t="str">
        <x:v>Accepted gates</x:v>
      </x:c>
      <x:c r="B19" s="22" t="n">
        <x:f>COUNTIF('Release Gates'!F6:F13,"Accepted")</x:f>
        <x:v>0</x:v>
      </x:c>
      <x:c r="C19" s="13"/>
      <x:c r="D19" s="19"/>
      <x:c r="E19" s="19"/>
      <x:c r="F19" s="19"/>
    </x:row>
    <x:row r="20" ht="23.25" customHeight="1">
      <x:c r="A20" s="18" t="str">
        <x:v>Total gates</x:v>
      </x:c>
      <x:c r="B20" s="21" t="n">
        <x:f>COUNTA('Release Gates'!A6:A13)</x:f>
        <x:v>8</x:v>
      </x:c>
      <x:c r="C20" s="13"/>
      <x:c r="D20" s="19"/>
      <x:c r="E20" s="19"/>
      <x:c r="F20" s="19"/>
    </x:row>
    <x:row r="21" ht="23.25" customHeight="1">
      <x:c r="A21" s="19" t="str">
        <x:v>Remaining gates</x:v>
      </x:c>
      <x:c r="B21" s="22" t="n">
        <x:f>B20-B19</x:f>
        <x:v>8</x:v>
      </x:c>
      <x:c r="C21" s="13"/>
      <x:c r="D21" s="19"/>
      <x:c r="E21" s="19"/>
      <x:c r="F21" s="19"/>
    </x:row>
    <x:row r="22">
      <x:c r="A22" s="13"/>
      <x:c r="B22" s="13"/>
      <x:c r="C22" s="13"/>
      <x:c r="D22" s="13"/>
      <x:c r="E22" s="13"/>
      <x:c r="F22" s="13"/>
    </x:row>
    <x:row r="23">
      <x:c r="A23" s="13"/>
      <x:c r="B23" s="13"/>
      <x:c r="C23" s="13"/>
      <x:c r="D23" s="13"/>
      <x:c r="E23" s="13"/>
      <x:c r="F23" s="13"/>
    </x:row>
    <x:row r="24">
      <x:c r="A24" s="19" t="str">
        <x:v>Reference checks in the engineering pack are separate from these application tests. Initial state: 364 tests Not run; 21 decisions Open; no gate accepted.</x:v>
      </x:c>
      <x:c r="B24" s="19"/>
      <x:c r="C24" s="19"/>
      <x:c r="D24" s="19"/>
      <x:c r="E24" s="19"/>
      <x:c r="F24" s="19"/>
    </x:row>
    <x:row r="25">
      <x:c r="A25" s="19"/>
      <x:c r="B25" s="19"/>
      <x:c r="C25" s="19"/>
      <x:c r="D25" s="19"/>
      <x:c r="E25" s="19"/>
      <x:c r="F25" s="19"/>
    </x:row>
    <x:row r="26">
      <x:c r="A26" s="19"/>
      <x:c r="B26" s="19"/>
      <x:c r="C26" s="19"/>
      <x:c r="D26" s="19"/>
      <x:c r="E26" s="19"/>
      <x:c r="F26" s="19"/>
    </x:row>
    <x:row r="27">
      <x:c r="A27" s="13"/>
      <x:c r="B27" s="13"/>
      <x:c r="C27" s="13"/>
      <x:c r="D27" s="13"/>
      <x:c r="E27" s="13"/>
      <x:c r="F27" s="13"/>
    </x:row>
    <x:row r="28">
      <x:c r="A28" s="19" t="str">
        <x:v>Sources: existing Health AI Orchestration Platform BRD v1.1; supporting specifications v1.0. API contract: engineering/openapi.json. Field and operation catalogues describe a proposed baseline, not a deployed service.</x:v>
      </x:c>
      <x:c r="B28" s="19"/>
      <x:c r="C28" s="19"/>
      <x:c r="D28" s="19"/>
      <x:c r="E28" s="19"/>
      <x:c r="F28" s="19"/>
    </x:row>
    <x:row r="29">
      <x:c r="A29" s="19"/>
      <x:c r="B29" s="19"/>
      <x:c r="C29" s="19"/>
      <x:c r="D29" s="19"/>
      <x:c r="E29" s="19"/>
      <x:c r="F29" s="19"/>
    </x:row>
    <x:row r="30">
      <x:c r="A30" s="19"/>
      <x:c r="B30" s="19"/>
      <x:c r="C30" s="19"/>
      <x:c r="D30" s="19"/>
      <x:c r="E30" s="19"/>
      <x:c r="F30" s="19"/>
    </x:row>
    <x:row r="31">
      <x:c r="A31" s="13"/>
      <x:c r="B31" s="13"/>
      <x:c r="C31" s="13"/>
      <x:c r="D31" s="13"/>
      <x:c r="E31" s="13"/>
      <x:c r="F31" s="13"/>
    </x:row>
    <x:row r="32">
      <x:c r="A32" s="13"/>
      <x:c r="B32" s="13"/>
      <x:c r="C32" s="13"/>
      <x:c r="D32" s="13"/>
      <x:c r="E32" s="13"/>
      <x:c r="F32" s="13"/>
    </x:row>
    <x:row r="33">
      <x:c r="A33" s="13"/>
      <x:c r="B33" s="13"/>
      <x:c r="C33" s="13"/>
      <x:c r="D33" s="13"/>
      <x:c r="E33" s="13"/>
      <x:c r="F33" s="13"/>
    </x:row>
    <x:row r="34">
      <x:c r="A34" s="13"/>
      <x:c r="B34" s="13"/>
      <x:c r="C34" s="13"/>
      <x:c r="D34" s="13"/>
      <x:c r="E34" s="13"/>
      <x:c r="F34" s="13"/>
    </x:row>
    <x:row r="35">
      <x:c r="A35" s="13"/>
      <x:c r="B35" s="13"/>
      <x:c r="C35" s="13"/>
      <x:c r="D35" s="13"/>
      <x:c r="E35" s="13"/>
      <x:c r="F35" s="13"/>
    </x:row>
  </x:sheetData>
  <x:mergeCells>
    <x:mergeCell ref="A1:F1"/>
    <x:mergeCell ref="A2:F2"/>
    <x:mergeCell ref="A3:F3"/>
    <x:mergeCell ref="D5:F5"/>
    <x:mergeCell ref="D6:F8"/>
    <x:mergeCell ref="D9:F11"/>
    <x:mergeCell ref="D12:F14"/>
    <x:mergeCell ref="D15:F17"/>
    <x:mergeCell ref="D18:F21"/>
    <x:mergeCell ref="A24:F26"/>
    <x:mergeCell ref="A28:F30"/>
  </x:mergeCells>
  <x:pageMargins left="0.7" right="0.7" top="0.75" bottom="0.75" header="0.3" footer="0.3"/>
</x:worksheet>
</file>

<file path=xl/worksheets/sheet2.xml><?xml version="1.0" encoding="utf-8"?>
<x:worksheet xmlns:x="http://schemas.openxmlformats.org/spreadsheetml/2006/main">
  <x:sheetPr>
    <x:tabColor rgb="FFB8852C"/>
  </x:sheetPr>
  <x:sheetViews>
    <x:sheetView showGridLines="0" workbookViewId="0">
      <x:pane xSplit="1" ySplit="5" topLeftCell="B6" activePane="bottomRight" state="frozen"/>
    </x:sheetView>
  </x:sheetViews>
  <x:sheetFormatPr defaultRowHeight="15"/>
  <x:cols>
    <x:col min="1" max="1" width="15.5600004196167" hidden="0" customWidth="1"/>
    <x:col min="2" max="2" width="32.220001220703125" hidden="0" customWidth="1"/>
    <x:col min="3" max="3" width="8.890000343322754" hidden="0" customWidth="1"/>
    <x:col min="4" max="4" width="8.890000343322754" hidden="0" customWidth="1"/>
    <x:col min="5" max="5" width="15.5600004196167" hidden="0" customWidth="1"/>
    <x:col min="6" max="6" width="26.670000076293945" hidden="0" customWidth="1"/>
    <x:col min="7" max="7" width="23.329999923706055" hidden="0" customWidth="1"/>
    <x:col min="8" max="8" width="20" hidden="0" customWidth="1"/>
    <x:col min="9" max="9" width="30" hidden="0" customWidth="1"/>
    <x:col min="10" max="10" width="12.220000267028809" hidden="0" customWidth="1"/>
    <x:col min="11" max="11" width="37.779998779296875" hidden="0" customWidth="1"/>
    <x:col min="12" max="12" width="13.329999923706055" hidden="0" customWidth="1"/>
    <x:col min="13" max="13" width="15.5600004196167" hidden="0" customWidth="1"/>
    <x:col min="14" max="14" width="13.329999923706055" hidden="0" customWidth="1"/>
  </x:cols>
  <x:sheetData>
    <x:row r="1" ht="28.5" customHeight="1">
      <x:c r="A1" s="4" t="str">
        <x:v>Requirements</x:v>
      </x:c>
      <x:c r="B1" s="4"/>
      <x:c r="C1" s="4"/>
      <x:c r="D1" s="4"/>
      <x:c r="E1" s="4"/>
      <x:c r="F1" s="4"/>
      <x:c r="G1" s="3"/>
      <x:c r="H1" s="3"/>
      <x:c r="I1" s="3"/>
      <x:c r="J1" s="3"/>
      <x:c r="K1" s="3"/>
      <x:c r="L1" s="3"/>
      <x:c r="M1" s="3"/>
      <x:c r="N1" s="3"/>
    </x:row>
    <x:row r="2" ht="21" customHeight="1">
      <x:c r="A2" s="3" t="str">
        <x:v>Health AI Orchestration · v1.0 · source BRD v1.1 · proposed baseline · 26 September 2026</x:v>
      </x:c>
      <x:c r="B2" s="3"/>
      <x:c r="C2" s="3"/>
      <x:c r="D2" s="3"/>
      <x:c r="E2" s="3"/>
      <x:c r="F2" s="3"/>
      <x:c r="G2" s="3"/>
      <x:c r="H2" s="3"/>
      <x:c r="I2" s="3"/>
      <x:c r="J2" s="3"/>
      <x:c r="K2" s="3"/>
      <x:c r="L2" s="3"/>
      <x:c r="M2" s="3"/>
      <x:c r="N2" s="3"/>
    </x:row>
    <x:row r="3" ht="21" customHeight="1">
      <x:c r="A3" s="3" t="str">
        <x:v>Amber cells are editable execution fields. Add evidence before marking work or tests complete.</x:v>
      </x:c>
      <x:c r="B3" s="3"/>
      <x:c r="C3" s="3"/>
      <x:c r="D3" s="3"/>
      <x:c r="E3" s="3"/>
      <x:c r="F3" s="3"/>
      <x:c r="G3" s="3"/>
      <x:c r="H3" s="3"/>
      <x:c r="I3" s="3"/>
      <x:c r="J3" s="3"/>
      <x:c r="K3" s="3"/>
      <x:c r="L3" s="3"/>
      <x:c r="M3" s="3"/>
      <x:c r="N3" s="3"/>
    </x:row>
    <x:row r="4">
      <x:c r="A4" s="3"/>
      <x:c r="B4" s="3"/>
      <x:c r="C4" s="3"/>
      <x:c r="D4" s="3"/>
      <x:c r="E4" s="3"/>
      <x:c r="F4" s="3"/>
      <x:c r="G4" s="3"/>
      <x:c r="H4" s="3"/>
      <x:c r="I4" s="3"/>
      <x:c r="J4" s="3"/>
      <x:c r="K4" s="3"/>
      <x:c r="L4" s="3"/>
      <x:c r="M4" s="3"/>
      <x:c r="N4" s="3"/>
    </x:row>
    <x:row r="5" ht="31.5" customHeight="1">
      <x:c r="A5" s="6" t="str">
        <x:v>BRD ID</x:v>
      </x:c>
      <x:c r="B5" s="6" t="str">
        <x:v>Title</x:v>
      </x:c>
      <x:c r="C5" s="6" t="str">
        <x:v>Priority</x:v>
      </x:c>
      <x:c r="D5" s="6" t="str">
        <x:v>Release</x:v>
      </x:c>
      <x:c r="E5" s="6" t="str">
        <x:v>Design ID</x:v>
      </x:c>
      <x:c r="F5" s="6" t="str">
        <x:v>Document section</x:v>
      </x:c>
      <x:c r="G5" s="6" t="str">
        <x:v>Screens</x:v>
      </x:c>
      <x:c r="H5" s="6" t="str">
        <x:v>Components</x:v>
      </x:c>
      <x:c r="I5" s="6" t="str">
        <x:v>Related APIs</x:v>
      </x:c>
      <x:c r="J5" s="6" t="str">
        <x:v>Work package</x:v>
      </x:c>
      <x:c r="K5" s="6" t="str">
        <x:v>Tests</x:v>
      </x:c>
      <x:c r="L5" s="6" t="str">
        <x:v>Design status</x:v>
      </x:c>
      <x:c r="M5" s="6" t="str">
        <x:v>Build status</x:v>
      </x:c>
      <x:c r="N5" s="6" t="str">
        <x:v>Test status</x:v>
      </x:c>
    </x:row>
    <x:row r="6" ht="35.25" customHeight="1">
      <x:c r="A6" s="7" t="str">
        <x:v>BR-UX-01</x:v>
      </x:c>
      <x:c r="B6" s="7" t="str">
        <x:v>One task entry point</x:v>
      </x:c>
      <x:c r="C6" s="7" t="str">
        <x:v>Must</x:v>
      </x:c>
      <x:c r="D6" s="7" t="str">
        <x:v>R1</x:v>
      </x:c>
      <x:c r="E6" s="7" t="str">
        <x:v>FR-UX-01</x:v>
      </x:c>
      <x:c r="F6" s="7" t="str">
        <x:v>FSD UX</x:v>
      </x:c>
      <x:c r="G6" s="7" t="str">
        <x:v>SCR01 SCR02 SCR03 SCR04 SCR05 SCR06 SCR07</x:v>
      </x:c>
      <x:c r="H6" s="7" t="str">
        <x:v>C01 C03</x:v>
      </x:c>
      <x:c r="I6" s="7" t="str">
        <x:v>API004 API006 API038 API039</x:v>
      </x:c>
      <x:c r="J6" s="7" t="str">
        <x:v>WP03</x:v>
      </x:c>
      <x:c r="K6" s="7" t="str">
        <x:v>TC-BR-UX-01-A TC-BR-UX-01-B</x:v>
      </x:c>
      <x:c r="L6" s="7" t="str">
        <x:v>Specified</x:v>
      </x:c>
      <x:c r="M6" s="10" t="str">
        <x:v>Not implemented</x:v>
      </x:c>
      <x:c r="N6" s="10" t="str">
        <x:v>Not run</x:v>
      </x:c>
    </x:row>
    <x:row r="7" ht="35.25" customHeight="1">
      <x:c r="A7" s="8" t="str">
        <x:v>BR-UX-02</x:v>
      </x:c>
      <x:c r="B7" s="8" t="str">
        <x:v>Clear patient and visit context</x:v>
      </x:c>
      <x:c r="C7" s="8" t="str">
        <x:v>Must</x:v>
      </x:c>
      <x:c r="D7" s="8" t="str">
        <x:v>R1</x:v>
      </x:c>
      <x:c r="E7" s="8" t="str">
        <x:v>FR-UX-02</x:v>
      </x:c>
      <x:c r="F7" s="8" t="str">
        <x:v>FSD UX</x:v>
      </x:c>
      <x:c r="G7" s="8" t="str">
        <x:v>SCR01 SCR02 SCR03 SCR04 SCR05 SCR06 SCR07</x:v>
      </x:c>
      <x:c r="H7" s="8" t="str">
        <x:v>C01 C03</x:v>
      </x:c>
      <x:c r="I7" s="8" t="str">
        <x:v>API004 API006 API038 API039</x:v>
      </x:c>
      <x:c r="J7" s="8" t="str">
        <x:v>WP03</x:v>
      </x:c>
      <x:c r="K7" s="8" t="str">
        <x:v>TC-BR-UX-02-A TC-BR-UX-02-B</x:v>
      </x:c>
      <x:c r="L7" s="8" t="str">
        <x:v>Specified</x:v>
      </x:c>
      <x:c r="M7" s="10" t="str">
        <x:v>Not implemented</x:v>
      </x:c>
      <x:c r="N7" s="10" t="str">
        <x:v>Not run</x:v>
      </x:c>
    </x:row>
    <x:row r="8" ht="35.25" customHeight="1">
      <x:c r="A8" s="7" t="str">
        <x:v>BR-UX-03</x:v>
      </x:c>
      <x:c r="B8" s="7" t="str">
        <x:v>Voice text and guided entry</x:v>
      </x:c>
      <x:c r="C8" s="7" t="str">
        <x:v>Must</x:v>
      </x:c>
      <x:c r="D8" s="7" t="str">
        <x:v>R1</x:v>
      </x:c>
      <x:c r="E8" s="7" t="str">
        <x:v>FR-UX-03</x:v>
      </x:c>
      <x:c r="F8" s="7" t="str">
        <x:v>FSD UX</x:v>
      </x:c>
      <x:c r="G8" s="7" t="str">
        <x:v>SCR01 SCR02 SCR03 SCR04 SCR05 SCR06 SCR07</x:v>
      </x:c>
      <x:c r="H8" s="7" t="str">
        <x:v>C01 C03</x:v>
      </x:c>
      <x:c r="I8" s="7" t="str">
        <x:v>API004 API006 API038 API039</x:v>
      </x:c>
      <x:c r="J8" s="7" t="str">
        <x:v>WP03</x:v>
      </x:c>
      <x:c r="K8" s="7" t="str">
        <x:v>TC-BR-UX-03-A TC-BR-UX-03-B</x:v>
      </x:c>
      <x:c r="L8" s="7" t="str">
        <x:v>Specified</x:v>
      </x:c>
      <x:c r="M8" s="10" t="str">
        <x:v>Not implemented</x:v>
      </x:c>
      <x:c r="N8" s="10" t="str">
        <x:v>Not run</x:v>
      </x:c>
    </x:row>
    <x:row r="9" ht="35.25" customHeight="1">
      <x:c r="A9" s="8" t="str">
        <x:v>BR-UX-04</x:v>
      </x:c>
      <x:c r="B9" s="8" t="str">
        <x:v>Structured encounter summary</x:v>
      </x:c>
      <x:c r="C9" s="8" t="str">
        <x:v>Must</x:v>
      </x:c>
      <x:c r="D9" s="8" t="str">
        <x:v>R1</x:v>
      </x:c>
      <x:c r="E9" s="8" t="str">
        <x:v>FR-UX-04</x:v>
      </x:c>
      <x:c r="F9" s="8" t="str">
        <x:v>FSD UX</x:v>
      </x:c>
      <x:c r="G9" s="8" t="str">
        <x:v>SCR01 SCR02 SCR03 SCR04 SCR05 SCR06 SCR07</x:v>
      </x:c>
      <x:c r="H9" s="8" t="str">
        <x:v>C01 C03</x:v>
      </x:c>
      <x:c r="I9" s="8" t="str">
        <x:v>API004 API006 API038 API039</x:v>
      </x:c>
      <x:c r="J9" s="8" t="str">
        <x:v>WP03</x:v>
      </x:c>
      <x:c r="K9" s="8" t="str">
        <x:v>TC-BR-UX-04-A TC-BR-UX-04-B</x:v>
      </x:c>
      <x:c r="L9" s="8" t="str">
        <x:v>Specified</x:v>
      </x:c>
      <x:c r="M9" s="10" t="str">
        <x:v>Not implemented</x:v>
      </x:c>
      <x:c r="N9" s="10" t="str">
        <x:v>Not run</x:v>
      </x:c>
    </x:row>
    <x:row r="10" ht="35.25" customHeight="1">
      <x:c r="A10" s="7" t="str">
        <x:v>BR-UX-05</x:v>
      </x:c>
      <x:c r="B10" s="7" t="str">
        <x:v>Language and accessibility</x:v>
      </x:c>
      <x:c r="C10" s="7" t="str">
        <x:v>Must</x:v>
      </x:c>
      <x:c r="D10" s="7" t="str">
        <x:v>R1</x:v>
      </x:c>
      <x:c r="E10" s="7" t="str">
        <x:v>FR-UX-05</x:v>
      </x:c>
      <x:c r="F10" s="7" t="str">
        <x:v>FSD UX</x:v>
      </x:c>
      <x:c r="G10" s="7" t="str">
        <x:v>SCR01 SCR02 SCR03 SCR04 SCR05 SCR06 SCR07</x:v>
      </x:c>
      <x:c r="H10" s="7" t="str">
        <x:v>C01 C03</x:v>
      </x:c>
      <x:c r="I10" s="7" t="str">
        <x:v>API004 API006 API038 API039</x:v>
      </x:c>
      <x:c r="J10" s="7" t="str">
        <x:v>WP03</x:v>
      </x:c>
      <x:c r="K10" s="7" t="str">
        <x:v>TC-BR-UX-05-A TC-BR-UX-05-B</x:v>
      </x:c>
      <x:c r="L10" s="7" t="str">
        <x:v>Specified</x:v>
      </x:c>
      <x:c r="M10" s="10" t="str">
        <x:v>Not implemented</x:v>
      </x:c>
      <x:c r="N10" s="10" t="str">
        <x:v>Not run</x:v>
      </x:c>
    </x:row>
    <x:row r="11" ht="35.25" customHeight="1">
      <x:c r="A11" s="8" t="str">
        <x:v>BR-UX-06</x:v>
      </x:c>
      <x:c r="B11" s="8" t="str">
        <x:v>Status that reflects reality</x:v>
      </x:c>
      <x:c r="C11" s="8" t="str">
        <x:v>Must</x:v>
      </x:c>
      <x:c r="D11" s="8" t="str">
        <x:v>R1</x:v>
      </x:c>
      <x:c r="E11" s="8" t="str">
        <x:v>FR-UX-06</x:v>
      </x:c>
      <x:c r="F11" s="8" t="str">
        <x:v>FSD UX</x:v>
      </x:c>
      <x:c r="G11" s="8" t="str">
        <x:v>SCR01 SCR02 SCR03 SCR04 SCR05 SCR06 SCR07</x:v>
      </x:c>
      <x:c r="H11" s="8" t="str">
        <x:v>C01 C03</x:v>
      </x:c>
      <x:c r="I11" s="8" t="str">
        <x:v>API004 API006 API038 API039</x:v>
      </x:c>
      <x:c r="J11" s="8" t="str">
        <x:v>WP03</x:v>
      </x:c>
      <x:c r="K11" s="8" t="str">
        <x:v>TC-BR-UX-06-A TC-BR-UX-06-B</x:v>
      </x:c>
      <x:c r="L11" s="8" t="str">
        <x:v>Specified</x:v>
      </x:c>
      <x:c r="M11" s="10" t="str">
        <x:v>Not implemented</x:v>
      </x:c>
      <x:c r="N11" s="10" t="str">
        <x:v>Not run</x:v>
      </x:c>
    </x:row>
    <x:row r="12" ht="35.25" customHeight="1">
      <x:c r="A12" s="7" t="str">
        <x:v>BR-UX-07</x:v>
      </x:c>
      <x:c r="B12" s="7" t="str">
        <x:v>Resume interrupted work</x:v>
      </x:c>
      <x:c r="C12" s="7" t="str">
        <x:v>Must</x:v>
      </x:c>
      <x:c r="D12" s="7" t="str">
        <x:v>R1</x:v>
      </x:c>
      <x:c r="E12" s="7" t="str">
        <x:v>FR-UX-07</x:v>
      </x:c>
      <x:c r="F12" s="7" t="str">
        <x:v>FSD UX</x:v>
      </x:c>
      <x:c r="G12" s="7" t="str">
        <x:v>SCR01 SCR02 SCR03 SCR04 SCR05 SCR06 SCR07</x:v>
      </x:c>
      <x:c r="H12" s="7" t="str">
        <x:v>C01 C03</x:v>
      </x:c>
      <x:c r="I12" s="7" t="str">
        <x:v>API004 API006 API038 API039</x:v>
      </x:c>
      <x:c r="J12" s="7" t="str">
        <x:v>WP03</x:v>
      </x:c>
      <x:c r="K12" s="7" t="str">
        <x:v>TC-BR-UX-07-A TC-BR-UX-07-B</x:v>
      </x:c>
      <x:c r="L12" s="7" t="str">
        <x:v>Specified</x:v>
      </x:c>
      <x:c r="M12" s="10" t="str">
        <x:v>Not implemented</x:v>
      </x:c>
      <x:c r="N12" s="10" t="str">
        <x:v>Not run</x:v>
      </x:c>
    </x:row>
    <x:row r="13" ht="35.25" customHeight="1">
      <x:c r="A13" s="8" t="str">
        <x:v>BR-UX-08</x:v>
      </x:c>
      <x:c r="B13" s="8" t="str">
        <x:v>Low literacy and field use</x:v>
      </x:c>
      <x:c r="C13" s="8" t="str">
        <x:v>Should</x:v>
      </x:c>
      <x:c r="D13" s="8" t="str">
        <x:v>R1</x:v>
      </x:c>
      <x:c r="E13" s="8" t="str">
        <x:v>FR-UX-08</x:v>
      </x:c>
      <x:c r="F13" s="8" t="str">
        <x:v>FSD UX</x:v>
      </x:c>
      <x:c r="G13" s="8" t="str">
        <x:v>SCR01 SCR02 SCR03 SCR04 SCR05 SCR06 SCR07</x:v>
      </x:c>
      <x:c r="H13" s="8" t="str">
        <x:v>C01 C03</x:v>
      </x:c>
      <x:c r="I13" s="8" t="str">
        <x:v>API004 API006 API038 API039</x:v>
      </x:c>
      <x:c r="J13" s="8" t="str">
        <x:v>WP03</x:v>
      </x:c>
      <x:c r="K13" s="8" t="str">
        <x:v>TC-BR-UX-08-A TC-BR-UX-08-B</x:v>
      </x:c>
      <x:c r="L13" s="8" t="str">
        <x:v>Specified</x:v>
      </x:c>
      <x:c r="M13" s="10" t="str">
        <x:v>Not implemented</x:v>
      </x:c>
      <x:c r="N13" s="10" t="str">
        <x:v>Not run</x:v>
      </x:c>
    </x:row>
    <x:row r="14" ht="35.25" customHeight="1">
      <x:c r="A14" s="7" t="str">
        <x:v>BR-UX-09</x:v>
      </x:c>
      <x:c r="B14" s="7" t="str">
        <x:v>Explainable action review</x:v>
      </x:c>
      <x:c r="C14" s="7" t="str">
        <x:v>Must</x:v>
      </x:c>
      <x:c r="D14" s="7" t="str">
        <x:v>R1</x:v>
      </x:c>
      <x:c r="E14" s="7" t="str">
        <x:v>FR-UX-09</x:v>
      </x:c>
      <x:c r="F14" s="7" t="str">
        <x:v>FSD UX</x:v>
      </x:c>
      <x:c r="G14" s="7" t="str">
        <x:v>SCR01 SCR02 SCR03 SCR04 SCR05 SCR06 SCR07</x:v>
      </x:c>
      <x:c r="H14" s="7" t="str">
        <x:v>C01 C03</x:v>
      </x:c>
      <x:c r="I14" s="7" t="str">
        <x:v>API004 API006 API038 API039</x:v>
      </x:c>
      <x:c r="J14" s="7" t="str">
        <x:v>WP03</x:v>
      </x:c>
      <x:c r="K14" s="7" t="str">
        <x:v>TC-BR-UX-09-A TC-BR-UX-09-B</x:v>
      </x:c>
      <x:c r="L14" s="7" t="str">
        <x:v>Specified</x:v>
      </x:c>
      <x:c r="M14" s="10" t="str">
        <x:v>Not implemented</x:v>
      </x:c>
      <x:c r="N14" s="10" t="str">
        <x:v>Not run</x:v>
      </x:c>
    </x:row>
    <x:row r="15" ht="30" customHeight="1">
      <x:c r="A15" s="8" t="str">
        <x:v>BR-ID-01</x:v>
      </x:c>
      <x:c r="B15" s="8" t="str">
        <x:v>Workforce lifecycle</x:v>
      </x:c>
      <x:c r="C15" s="8" t="str">
        <x:v>Must</x:v>
      </x:c>
      <x:c r="D15" s="8" t="str">
        <x:v>R1</x:v>
      </x:c>
      <x:c r="E15" s="8" t="str">
        <x:v>FR-ID-01</x:v>
      </x:c>
      <x:c r="F15" s="8" t="str">
        <x:v>FSD ID</x:v>
      </x:c>
      <x:c r="G15" s="8" t="str">
        <x:v>SCR01 SCR02 SCR16 SCR17</x:v>
      </x:c>
      <x:c r="H15" s="8" t="str">
        <x:v>C02 C03</x:v>
      </x:c>
      <x:c r="I15" s="8" t="str">
        <x:v>API001 API002 API003 API036 API037 API072</x:v>
      </x:c>
      <x:c r="J15" s="8" t="str">
        <x:v>WP01</x:v>
      </x:c>
      <x:c r="K15" s="8" t="str">
        <x:v>TC-BR-ID-01-A TC-BR-ID-01-B</x:v>
      </x:c>
      <x:c r="L15" s="8" t="str">
        <x:v>Specified</x:v>
      </x:c>
      <x:c r="M15" s="10" t="str">
        <x:v>Not implemented</x:v>
      </x:c>
      <x:c r="N15" s="10" t="str">
        <x:v>Not run</x:v>
      </x:c>
    </x:row>
    <x:row r="16" ht="30" customHeight="1">
      <x:c r="A16" s="7" t="str">
        <x:v>BR-ID-02</x:v>
      </x:c>
      <x:c r="B16" s="7" t="str">
        <x:v>Scoped permissions</x:v>
      </x:c>
      <x:c r="C16" s="7" t="str">
        <x:v>Must</x:v>
      </x:c>
      <x:c r="D16" s="7" t="str">
        <x:v>R1</x:v>
      </x:c>
      <x:c r="E16" s="7" t="str">
        <x:v>FR-ID-02</x:v>
      </x:c>
      <x:c r="F16" s="7" t="str">
        <x:v>FSD ID</x:v>
      </x:c>
      <x:c r="G16" s="7" t="str">
        <x:v>SCR01 SCR02 SCR16 SCR17</x:v>
      </x:c>
      <x:c r="H16" s="7" t="str">
        <x:v>C02 C03</x:v>
      </x:c>
      <x:c r="I16" s="7" t="str">
        <x:v>API001 API002 API003 API036 API037 API072</x:v>
      </x:c>
      <x:c r="J16" s="7" t="str">
        <x:v>WP01</x:v>
      </x:c>
      <x:c r="K16" s="7" t="str">
        <x:v>TC-BR-ID-02-A TC-BR-ID-02-B</x:v>
      </x:c>
      <x:c r="L16" s="7" t="str">
        <x:v>Specified</x:v>
      </x:c>
      <x:c r="M16" s="10" t="str">
        <x:v>Not implemented</x:v>
      </x:c>
      <x:c r="N16" s="10" t="str">
        <x:v>Not run</x:v>
      </x:c>
    </x:row>
    <x:row r="17" ht="30" customHeight="1">
      <x:c r="A17" s="8" t="str">
        <x:v>BR-ID-03</x:v>
      </x:c>
      <x:c r="B17" s="8" t="str">
        <x:v>Authentication and recovery</x:v>
      </x:c>
      <x:c r="C17" s="8" t="str">
        <x:v>Must</x:v>
      </x:c>
      <x:c r="D17" s="8" t="str">
        <x:v>R1</x:v>
      </x:c>
      <x:c r="E17" s="8" t="str">
        <x:v>FR-ID-03</x:v>
      </x:c>
      <x:c r="F17" s="8" t="str">
        <x:v>FSD ID</x:v>
      </x:c>
      <x:c r="G17" s="8" t="str">
        <x:v>SCR01 SCR02 SCR16 SCR17</x:v>
      </x:c>
      <x:c r="H17" s="8" t="str">
        <x:v>C02 C03</x:v>
      </x:c>
      <x:c r="I17" s="8" t="str">
        <x:v>API001 API002 API003 API036 API037 API072</x:v>
      </x:c>
      <x:c r="J17" s="8" t="str">
        <x:v>WP01</x:v>
      </x:c>
      <x:c r="K17" s="8" t="str">
        <x:v>TC-BR-ID-03-A TC-BR-ID-03-B</x:v>
      </x:c>
      <x:c r="L17" s="8" t="str">
        <x:v>Specified</x:v>
      </x:c>
      <x:c r="M17" s="10" t="str">
        <x:v>Not implemented</x:v>
      </x:c>
      <x:c r="N17" s="10" t="str">
        <x:v>Not run</x:v>
      </x:c>
    </x:row>
    <x:row r="18" ht="30" customHeight="1">
      <x:c r="A18" s="7" t="str">
        <x:v>BR-ID-04</x:v>
      </x:c>
      <x:c r="B18" s="7" t="str">
        <x:v>Caseload assignment and transfer</x:v>
      </x:c>
      <x:c r="C18" s="7" t="str">
        <x:v>Must</x:v>
      </x:c>
      <x:c r="D18" s="7" t="str">
        <x:v>R1</x:v>
      </x:c>
      <x:c r="E18" s="7" t="str">
        <x:v>FR-ID-04</x:v>
      </x:c>
      <x:c r="F18" s="7" t="str">
        <x:v>FSD ID</x:v>
      </x:c>
      <x:c r="G18" s="7" t="str">
        <x:v>SCR01 SCR02 SCR16 SCR17</x:v>
      </x:c>
      <x:c r="H18" s="7" t="str">
        <x:v>C02 C03</x:v>
      </x:c>
      <x:c r="I18" s="7" t="str">
        <x:v>API001 API002 API003 API036 API037 API072</x:v>
      </x:c>
      <x:c r="J18" s="7" t="str">
        <x:v>WP01</x:v>
      </x:c>
      <x:c r="K18" s="7" t="str">
        <x:v>TC-BR-ID-04-A TC-BR-ID-04-B</x:v>
      </x:c>
      <x:c r="L18" s="7" t="str">
        <x:v>Specified</x:v>
      </x:c>
      <x:c r="M18" s="10" t="str">
        <x:v>Not implemented</x:v>
      </x:c>
      <x:c r="N18" s="10" t="str">
        <x:v>Not run</x:v>
      </x:c>
    </x:row>
    <x:row r="19" ht="30" customHeight="1">
      <x:c r="A19" s="8" t="str">
        <x:v>BR-ID-05</x:v>
      </x:c>
      <x:c r="B19" s="8" t="str">
        <x:v>Patient matching with human resolution</x:v>
      </x:c>
      <x:c r="C19" s="8" t="str">
        <x:v>Must</x:v>
      </x:c>
      <x:c r="D19" s="8" t="str">
        <x:v>R1</x:v>
      </x:c>
      <x:c r="E19" s="8" t="str">
        <x:v>FR-ID-05</x:v>
      </x:c>
      <x:c r="F19" s="8" t="str">
        <x:v>FSD ID</x:v>
      </x:c>
      <x:c r="G19" s="8" t="str">
        <x:v>SCR01 SCR02 SCR16 SCR17</x:v>
      </x:c>
      <x:c r="H19" s="8" t="str">
        <x:v>C02 C03</x:v>
      </x:c>
      <x:c r="I19" s="8" t="str">
        <x:v>API001 API002 API003 API036 API037 API072</x:v>
      </x:c>
      <x:c r="J19" s="8" t="str">
        <x:v>WP01</x:v>
      </x:c>
      <x:c r="K19" s="8" t="str">
        <x:v>TC-BR-ID-05-A TC-BR-ID-05-B</x:v>
      </x:c>
      <x:c r="L19" s="8" t="str">
        <x:v>Specified</x:v>
      </x:c>
      <x:c r="M19" s="10" t="str">
        <x:v>Not implemented</x:v>
      </x:c>
      <x:c r="N19" s="10" t="str">
        <x:v>Not run</x:v>
      </x:c>
    </x:row>
    <x:row r="20" ht="35.25" customHeight="1">
      <x:c r="A20" s="7" t="str">
        <x:v>BR-ID-06</x:v>
      </x:c>
      <x:c r="B20" s="7" t="str">
        <x:v>Local registration without national identifier</x:v>
      </x:c>
      <x:c r="C20" s="7" t="str">
        <x:v>Must</x:v>
      </x:c>
      <x:c r="D20" s="7" t="str">
        <x:v>R1</x:v>
      </x:c>
      <x:c r="E20" s="7" t="str">
        <x:v>FR-ID-06</x:v>
      </x:c>
      <x:c r="F20" s="7" t="str">
        <x:v>FSD ID</x:v>
      </x:c>
      <x:c r="G20" s="7" t="str">
        <x:v>SCR01 SCR02 SCR16 SCR17</x:v>
      </x:c>
      <x:c r="H20" s="7" t="str">
        <x:v>C02 C03</x:v>
      </x:c>
      <x:c r="I20" s="7" t="str">
        <x:v>API001 API002 API003 API036 API037 API072</x:v>
      </x:c>
      <x:c r="J20" s="7" t="str">
        <x:v>WP01</x:v>
      </x:c>
      <x:c r="K20" s="7" t="str">
        <x:v>TC-BR-ID-06-A TC-BR-ID-06-B</x:v>
      </x:c>
      <x:c r="L20" s="7" t="str">
        <x:v>Specified</x:v>
      </x:c>
      <x:c r="M20" s="10" t="str">
        <x:v>Not implemented</x:v>
      </x:c>
      <x:c r="N20" s="10" t="str">
        <x:v>Not run</x:v>
      </x:c>
    </x:row>
    <x:row r="21" ht="30" customHeight="1">
      <x:c r="A21" s="8" t="str">
        <x:v>BR-ID-07</x:v>
      </x:c>
      <x:c r="B21" s="8" t="str">
        <x:v>Household and proxy boundaries</x:v>
      </x:c>
      <x:c r="C21" s="8" t="str">
        <x:v>Must</x:v>
      </x:c>
      <x:c r="D21" s="8" t="str">
        <x:v>R1</x:v>
      </x:c>
      <x:c r="E21" s="8" t="str">
        <x:v>FR-ID-07</x:v>
      </x:c>
      <x:c r="F21" s="8" t="str">
        <x:v>FSD ID</x:v>
      </x:c>
      <x:c r="G21" s="8" t="str">
        <x:v>SCR01 SCR02 SCR16 SCR17</x:v>
      </x:c>
      <x:c r="H21" s="8" t="str">
        <x:v>C02 C03</x:v>
      </x:c>
      <x:c r="I21" s="8" t="str">
        <x:v>API001 API002 API003 API036 API037 API072</x:v>
      </x:c>
      <x:c r="J21" s="8" t="str">
        <x:v>WP01</x:v>
      </x:c>
      <x:c r="K21" s="8" t="str">
        <x:v>TC-BR-ID-07-A TC-BR-ID-07-B</x:v>
      </x:c>
      <x:c r="L21" s="8" t="str">
        <x:v>Specified</x:v>
      </x:c>
      <x:c r="M21" s="10" t="str">
        <x:v>Not implemented</x:v>
      </x:c>
      <x:c r="N21" s="10" t="str">
        <x:v>Not run</x:v>
      </x:c>
    </x:row>
    <x:row r="22" ht="30" customHeight="1">
      <x:c r="A22" s="7" t="str">
        <x:v>BR-ID-08</x:v>
      </x:c>
      <x:c r="B22" s="7" t="str">
        <x:v>Correctable identity links</x:v>
      </x:c>
      <x:c r="C22" s="7" t="str">
        <x:v>Must</x:v>
      </x:c>
      <x:c r="D22" s="7" t="str">
        <x:v>R1</x:v>
      </x:c>
      <x:c r="E22" s="7" t="str">
        <x:v>FR-ID-08</x:v>
      </x:c>
      <x:c r="F22" s="7" t="str">
        <x:v>FSD ID</x:v>
      </x:c>
      <x:c r="G22" s="7" t="str">
        <x:v>SCR01 SCR02 SCR16 SCR17</x:v>
      </x:c>
      <x:c r="H22" s="7" t="str">
        <x:v>C02 C03</x:v>
      </x:c>
      <x:c r="I22" s="7" t="str">
        <x:v>API001 API002 API003 API036 API037 API072</x:v>
      </x:c>
      <x:c r="J22" s="7" t="str">
        <x:v>WP01</x:v>
      </x:c>
      <x:c r="K22" s="7" t="str">
        <x:v>TC-BR-ID-08-A TC-BR-ID-08-B</x:v>
      </x:c>
      <x:c r="L22" s="7" t="str">
        <x:v>Specified</x:v>
      </x:c>
      <x:c r="M22" s="10" t="str">
        <x:v>Not implemented</x:v>
      </x:c>
      <x:c r="N22" s="10" t="str">
        <x:v>Not run</x:v>
      </x:c>
    </x:row>
    <x:row r="23" ht="30" customHeight="1">
      <x:c r="A23" s="8" t="str">
        <x:v>BR-ID-09</x:v>
      </x:c>
      <x:c r="B23" s="8" t="str">
        <x:v>Service accounts and delegation</x:v>
      </x:c>
      <x:c r="C23" s="8" t="str">
        <x:v>Must</x:v>
      </x:c>
      <x:c r="D23" s="8" t="str">
        <x:v>R1</x:v>
      </x:c>
      <x:c r="E23" s="8" t="str">
        <x:v>FR-ID-09</x:v>
      </x:c>
      <x:c r="F23" s="8" t="str">
        <x:v>FSD ID</x:v>
      </x:c>
      <x:c r="G23" s="8" t="str">
        <x:v>SCR01 SCR02 SCR16 SCR17</x:v>
      </x:c>
      <x:c r="H23" s="8" t="str">
        <x:v>C02 C03</x:v>
      </x:c>
      <x:c r="I23" s="8" t="str">
        <x:v>API001 API002 API003 API036 API037 API072</x:v>
      </x:c>
      <x:c r="J23" s="8" t="str">
        <x:v>WP01</x:v>
      </x:c>
      <x:c r="K23" s="8" t="str">
        <x:v>TC-BR-ID-09-A TC-BR-ID-09-B</x:v>
      </x:c>
      <x:c r="L23" s="8" t="str">
        <x:v>Specified</x:v>
      </x:c>
      <x:c r="M23" s="10" t="str">
        <x:v>Not implemented</x:v>
      </x:c>
      <x:c r="N23" s="10" t="str">
        <x:v>Not run</x:v>
      </x:c>
    </x:row>
    <x:row r="24" ht="30" customHeight="1">
      <x:c r="A24" s="7" t="str">
        <x:v>BR-ID-10</x:v>
      </x:c>
      <x:c r="B24" s="7" t="str">
        <x:v>Organisational federation</x:v>
      </x:c>
      <x:c r="C24" s="7" t="str">
        <x:v>Should</x:v>
      </x:c>
      <x:c r="D24" s="7" t="str">
        <x:v>R2</x:v>
      </x:c>
      <x:c r="E24" s="7" t="str">
        <x:v>FR-ID-10</x:v>
      </x:c>
      <x:c r="F24" s="7" t="str">
        <x:v>FSD ID</x:v>
      </x:c>
      <x:c r="G24" s="7" t="str">
        <x:v>SCR01 SCR02 SCR16 SCR17</x:v>
      </x:c>
      <x:c r="H24" s="7" t="str">
        <x:v>C02 C03</x:v>
      </x:c>
      <x:c r="I24" s="7" t="str">
        <x:v>API001 API002 API003 API036 API037 API072</x:v>
      </x:c>
      <x:c r="J24" s="7" t="str">
        <x:v>WP01</x:v>
      </x:c>
      <x:c r="K24" s="7" t="str">
        <x:v>TC-BR-ID-10-A TC-BR-ID-10-B</x:v>
      </x:c>
      <x:c r="L24" s="7" t="str">
        <x:v>Specified</x:v>
      </x:c>
      <x:c r="M24" s="10" t="str">
        <x:v>Not implemented</x:v>
      </x:c>
      <x:c r="N24" s="10" t="str">
        <x:v>Not run</x:v>
      </x:c>
    </x:row>
    <x:row r="25" ht="35.25" customHeight="1">
      <x:c r="A25" s="8" t="str">
        <x:v>BR-DATA-01</x:v>
      </x:c>
      <x:c r="B25" s="8" t="str">
        <x:v>Shared question assembly</x:v>
      </x:c>
      <x:c r="C25" s="8" t="str">
        <x:v>Must</x:v>
      </x:c>
      <x:c r="D25" s="8" t="str">
        <x:v>R1</x:v>
      </x:c>
      <x:c r="E25" s="8" t="str">
        <x:v>FR-DATA-01</x:v>
      </x:c>
      <x:c r="F25" s="8" t="str">
        <x:v>FSD DATA</x:v>
      </x:c>
      <x:c r="G25" s="8" t="str">
        <x:v>SCR03 SCR04 SCR05 SCR15</x:v>
      </x:c>
      <x:c r="H25" s="8" t="str">
        <x:v>C03 C04</x:v>
      </x:c>
      <x:c r="I25" s="8" t="str">
        <x:v>API005 API007 API008 API029 API030 API040 API041 API042 API043</x:v>
      </x:c>
      <x:c r="J25" s="8" t="str">
        <x:v>WP03</x:v>
      </x:c>
      <x:c r="K25" s="8" t="str">
        <x:v>TC-BR-DATA-01-A TC-BR-DATA-01-B</x:v>
      </x:c>
      <x:c r="L25" s="8" t="str">
        <x:v>Specified</x:v>
      </x:c>
      <x:c r="M25" s="10" t="str">
        <x:v>Not implemented</x:v>
      </x:c>
      <x:c r="N25" s="10" t="str">
        <x:v>Not run</x:v>
      </x:c>
    </x:row>
    <x:row r="26" ht="35.25" customHeight="1">
      <x:c r="A26" s="7" t="str">
        <x:v>BR-DATA-02</x:v>
      </x:c>
      <x:c r="B26" s="7" t="str">
        <x:v>Source and timing for every fact</x:v>
      </x:c>
      <x:c r="C26" s="7" t="str">
        <x:v>Must</x:v>
      </x:c>
      <x:c r="D26" s="7" t="str">
        <x:v>R1</x:v>
      </x:c>
      <x:c r="E26" s="7" t="str">
        <x:v>FR-DATA-02</x:v>
      </x:c>
      <x:c r="F26" s="7" t="str">
        <x:v>FSD DATA</x:v>
      </x:c>
      <x:c r="G26" s="7" t="str">
        <x:v>SCR03 SCR04 SCR05 SCR15</x:v>
      </x:c>
      <x:c r="H26" s="7" t="str">
        <x:v>C03 C04</x:v>
      </x:c>
      <x:c r="I26" s="7" t="str">
        <x:v>API005 API007 API008 API029 API030 API040 API041 API042 API043</x:v>
      </x:c>
      <x:c r="J26" s="7" t="str">
        <x:v>WP03</x:v>
      </x:c>
      <x:c r="K26" s="7" t="str">
        <x:v>TC-BR-DATA-02-A TC-BR-DATA-02-B</x:v>
      </x:c>
      <x:c r="L26" s="7" t="str">
        <x:v>Specified</x:v>
      </x:c>
      <x:c r="M26" s="10" t="str">
        <x:v>Not implemented</x:v>
      </x:c>
      <x:c r="N26" s="10" t="str">
        <x:v>Not run</x:v>
      </x:c>
    </x:row>
    <x:row r="27" ht="35.25" customHeight="1">
      <x:c r="A27" s="8" t="str">
        <x:v>BR-DATA-03</x:v>
      </x:c>
      <x:c r="B27" s="8" t="str">
        <x:v>Speech extraction as a draft</x:v>
      </x:c>
      <x:c r="C27" s="8" t="str">
        <x:v>Must</x:v>
      </x:c>
      <x:c r="D27" s="8" t="str">
        <x:v>R1</x:v>
      </x:c>
      <x:c r="E27" s="8" t="str">
        <x:v>FR-DATA-03</x:v>
      </x:c>
      <x:c r="F27" s="8" t="str">
        <x:v>FSD DATA</x:v>
      </x:c>
      <x:c r="G27" s="8" t="str">
        <x:v>SCR03 SCR04 SCR05 SCR15</x:v>
      </x:c>
      <x:c r="H27" s="8" t="str">
        <x:v>C03 C04</x:v>
      </x:c>
      <x:c r="I27" s="8" t="str">
        <x:v>API005 API007 API008 API029 API030 API040 API041 API042 API043</x:v>
      </x:c>
      <x:c r="J27" s="8" t="str">
        <x:v>WP03</x:v>
      </x:c>
      <x:c r="K27" s="8" t="str">
        <x:v>TC-BR-DATA-03-A TC-BR-DATA-03-B</x:v>
      </x:c>
      <x:c r="L27" s="8" t="str">
        <x:v>Specified</x:v>
      </x:c>
      <x:c r="M27" s="10" t="str">
        <x:v>Not implemented</x:v>
      </x:c>
      <x:c r="N27" s="10" t="str">
        <x:v>Not run</x:v>
      </x:c>
    </x:row>
    <x:row r="28" ht="35.25" customHeight="1">
      <x:c r="A28" s="7" t="str">
        <x:v>BR-DATA-04</x:v>
      </x:c>
      <x:c r="B28" s="7" t="str">
        <x:v>Freshness and relevance</x:v>
      </x:c>
      <x:c r="C28" s="7" t="str">
        <x:v>Must</x:v>
      </x:c>
      <x:c r="D28" s="7" t="str">
        <x:v>R1</x:v>
      </x:c>
      <x:c r="E28" s="7" t="str">
        <x:v>FR-DATA-04</x:v>
      </x:c>
      <x:c r="F28" s="7" t="str">
        <x:v>FSD DATA</x:v>
      </x:c>
      <x:c r="G28" s="7" t="str">
        <x:v>SCR03 SCR04 SCR05 SCR15</x:v>
      </x:c>
      <x:c r="H28" s="7" t="str">
        <x:v>C03 C04</x:v>
      </x:c>
      <x:c r="I28" s="7" t="str">
        <x:v>API005 API007 API008 API029 API030 API040 API041 API042 API043</x:v>
      </x:c>
      <x:c r="J28" s="7" t="str">
        <x:v>WP03</x:v>
      </x:c>
      <x:c r="K28" s="7" t="str">
        <x:v>TC-BR-DATA-04-A TC-BR-DATA-04-B</x:v>
      </x:c>
      <x:c r="L28" s="7" t="str">
        <x:v>Specified</x:v>
      </x:c>
      <x:c r="M28" s="10" t="str">
        <x:v>Not implemented</x:v>
      </x:c>
      <x:c r="N28" s="10" t="str">
        <x:v>Not run</x:v>
      </x:c>
    </x:row>
    <x:row r="29" ht="35.25" customHeight="1">
      <x:c r="A29" s="8" t="str">
        <x:v>BR-DATA-05</x:v>
      </x:c>
      <x:c r="B29" s="8" t="str">
        <x:v>Validation without fabrication</x:v>
      </x:c>
      <x:c r="C29" s="8" t="str">
        <x:v>Must</x:v>
      </x:c>
      <x:c r="D29" s="8" t="str">
        <x:v>R1</x:v>
      </x:c>
      <x:c r="E29" s="8" t="str">
        <x:v>FR-DATA-05</x:v>
      </x:c>
      <x:c r="F29" s="8" t="str">
        <x:v>FSD DATA</x:v>
      </x:c>
      <x:c r="G29" s="8" t="str">
        <x:v>SCR03 SCR04 SCR05 SCR15</x:v>
      </x:c>
      <x:c r="H29" s="8" t="str">
        <x:v>C03 C04</x:v>
      </x:c>
      <x:c r="I29" s="8" t="str">
        <x:v>API005 API007 API008 API029 API030 API040 API041 API042 API043</x:v>
      </x:c>
      <x:c r="J29" s="8" t="str">
        <x:v>WP03</x:v>
      </x:c>
      <x:c r="K29" s="8" t="str">
        <x:v>TC-BR-DATA-05-A TC-BR-DATA-05-B</x:v>
      </x:c>
      <x:c r="L29" s="8" t="str">
        <x:v>Specified</x:v>
      </x:c>
      <x:c r="M29" s="10" t="str">
        <x:v>Not implemented</x:v>
      </x:c>
      <x:c r="N29" s="10" t="str">
        <x:v>Not run</x:v>
      </x:c>
    </x:row>
    <x:row r="30" ht="35.25" customHeight="1">
      <x:c r="A30" s="7" t="str">
        <x:v>BR-DATA-06</x:v>
      </x:c>
      <x:c r="B30" s="7" t="str">
        <x:v>Traceable amendments</x:v>
      </x:c>
      <x:c r="C30" s="7" t="str">
        <x:v>Must</x:v>
      </x:c>
      <x:c r="D30" s="7" t="str">
        <x:v>R1</x:v>
      </x:c>
      <x:c r="E30" s="7" t="str">
        <x:v>FR-DATA-06</x:v>
      </x:c>
      <x:c r="F30" s="7" t="str">
        <x:v>FSD DATA</x:v>
      </x:c>
      <x:c r="G30" s="7" t="str">
        <x:v>SCR03 SCR04 SCR05 SCR15</x:v>
      </x:c>
      <x:c r="H30" s="7" t="str">
        <x:v>C03 C04</x:v>
      </x:c>
      <x:c r="I30" s="7" t="str">
        <x:v>API005 API007 API008 API029 API030 API040 API041 API042 API043</x:v>
      </x:c>
      <x:c r="J30" s="7" t="str">
        <x:v>WP03</x:v>
      </x:c>
      <x:c r="K30" s="7" t="str">
        <x:v>TC-BR-DATA-06-A TC-BR-DATA-06-B</x:v>
      </x:c>
      <x:c r="L30" s="7" t="str">
        <x:v>Specified</x:v>
      </x:c>
      <x:c r="M30" s="10" t="str">
        <x:v>Not implemented</x:v>
      </x:c>
      <x:c r="N30" s="10" t="str">
        <x:v>Not run</x:v>
      </x:c>
    </x:row>
    <x:row r="31" ht="35.25" customHeight="1">
      <x:c r="A31" s="8" t="str">
        <x:v>BR-DATA-07</x:v>
      </x:c>
      <x:c r="B31" s="8" t="str">
        <x:v>Concurrent edits</x:v>
      </x:c>
      <x:c r="C31" s="8" t="str">
        <x:v>Must</x:v>
      </x:c>
      <x:c r="D31" s="8" t="str">
        <x:v>R1</x:v>
      </x:c>
      <x:c r="E31" s="8" t="str">
        <x:v>FR-DATA-07</x:v>
      </x:c>
      <x:c r="F31" s="8" t="str">
        <x:v>FSD DATA</x:v>
      </x:c>
      <x:c r="G31" s="8" t="str">
        <x:v>SCR03 SCR04 SCR05 SCR15</x:v>
      </x:c>
      <x:c r="H31" s="8" t="str">
        <x:v>C03 C04</x:v>
      </x:c>
      <x:c r="I31" s="8" t="str">
        <x:v>API005 API007 API008 API029 API030 API040 API041 API042 API043</x:v>
      </x:c>
      <x:c r="J31" s="8" t="str">
        <x:v>WP03</x:v>
      </x:c>
      <x:c r="K31" s="8" t="str">
        <x:v>TC-BR-DATA-07-A TC-BR-DATA-07-B</x:v>
      </x:c>
      <x:c r="L31" s="8" t="str">
        <x:v>Specified</x:v>
      </x:c>
      <x:c r="M31" s="10" t="str">
        <x:v>Not implemented</x:v>
      </x:c>
      <x:c r="N31" s="10" t="str">
        <x:v>Not run</x:v>
      </x:c>
    </x:row>
    <x:row r="32" ht="35.25" customHeight="1">
      <x:c r="A32" s="7" t="str">
        <x:v>BR-DATA-08</x:v>
      </x:c>
      <x:c r="B32" s="7" t="str">
        <x:v>Documents and media</x:v>
      </x:c>
      <x:c r="C32" s="7" t="str">
        <x:v>Must</x:v>
      </x:c>
      <x:c r="D32" s="7" t="str">
        <x:v>R1</x:v>
      </x:c>
      <x:c r="E32" s="7" t="str">
        <x:v>FR-DATA-08</x:v>
      </x:c>
      <x:c r="F32" s="7" t="str">
        <x:v>FSD DATA</x:v>
      </x:c>
      <x:c r="G32" s="7" t="str">
        <x:v>SCR03 SCR04 SCR05 SCR15</x:v>
      </x:c>
      <x:c r="H32" s="7" t="str">
        <x:v>C03 C04</x:v>
      </x:c>
      <x:c r="I32" s="7" t="str">
        <x:v>API005 API007 API008 API029 API030 API040 API041 API042 API043</x:v>
      </x:c>
      <x:c r="J32" s="7" t="str">
        <x:v>WP03</x:v>
      </x:c>
      <x:c r="K32" s="7" t="str">
        <x:v>TC-BR-DATA-08-A TC-BR-DATA-08-B</x:v>
      </x:c>
      <x:c r="L32" s="7" t="str">
        <x:v>Specified</x:v>
      </x:c>
      <x:c r="M32" s="10" t="str">
        <x:v>Not implemented</x:v>
      </x:c>
      <x:c r="N32" s="10" t="str">
        <x:v>Not run</x:v>
      </x:c>
    </x:row>
    <x:row r="33" ht="35.25" customHeight="1">
      <x:c r="A33" s="8" t="str">
        <x:v>BR-DATA-09</x:v>
      </x:c>
      <x:c r="B33" s="8" t="str">
        <x:v>Authoritative field mapping</x:v>
      </x:c>
      <x:c r="C33" s="8" t="str">
        <x:v>Must</x:v>
      </x:c>
      <x:c r="D33" s="8" t="str">
        <x:v>R1</x:v>
      </x:c>
      <x:c r="E33" s="8" t="str">
        <x:v>FR-DATA-09</x:v>
      </x:c>
      <x:c r="F33" s="8" t="str">
        <x:v>FSD DATA</x:v>
      </x:c>
      <x:c r="G33" s="8" t="str">
        <x:v>SCR03 SCR04 SCR05 SCR15</x:v>
      </x:c>
      <x:c r="H33" s="8" t="str">
        <x:v>C03 C04</x:v>
      </x:c>
      <x:c r="I33" s="8" t="str">
        <x:v>API005 API007 API008 API029 API030 API040 API041 API042 API043</x:v>
      </x:c>
      <x:c r="J33" s="8" t="str">
        <x:v>WP03</x:v>
      </x:c>
      <x:c r="K33" s="8" t="str">
        <x:v>TC-BR-DATA-09-A TC-BR-DATA-09-B</x:v>
      </x:c>
      <x:c r="L33" s="8" t="str">
        <x:v>Specified</x:v>
      </x:c>
      <x:c r="M33" s="10" t="str">
        <x:v>Not implemented</x:v>
      </x:c>
      <x:c r="N33" s="10" t="str">
        <x:v>Not run</x:v>
      </x:c>
    </x:row>
    <x:row r="34" ht="35.25" customHeight="1">
      <x:c r="A34" s="7" t="str">
        <x:v>BR-DATA-10</x:v>
      </x:c>
      <x:c r="B34" s="7" t="str">
        <x:v>Selective permitted reuse</x:v>
      </x:c>
      <x:c r="C34" s="7" t="str">
        <x:v>Must</x:v>
      </x:c>
      <x:c r="D34" s="7" t="str">
        <x:v>R1</x:v>
      </x:c>
      <x:c r="E34" s="7" t="str">
        <x:v>FR-DATA-10</x:v>
      </x:c>
      <x:c r="F34" s="7" t="str">
        <x:v>FSD DATA</x:v>
      </x:c>
      <x:c r="G34" s="7" t="str">
        <x:v>SCR03 SCR04 SCR05 SCR15</x:v>
      </x:c>
      <x:c r="H34" s="7" t="str">
        <x:v>C03 C04</x:v>
      </x:c>
      <x:c r="I34" s="7" t="str">
        <x:v>API005 API007 API008 API029 API030 API040 API041 API042 API043</x:v>
      </x:c>
      <x:c r="J34" s="7" t="str">
        <x:v>WP03</x:v>
      </x:c>
      <x:c r="K34" s="7" t="str">
        <x:v>TC-BR-DATA-10-A TC-BR-DATA-10-B</x:v>
      </x:c>
      <x:c r="L34" s="7" t="str">
        <x:v>Specified</x:v>
      </x:c>
      <x:c r="M34" s="10" t="str">
        <x:v>Not implemented</x:v>
      </x:c>
      <x:c r="N34" s="10" t="str">
        <x:v>Not run</x:v>
      </x:c>
    </x:row>
    <x:row r="35" ht="35.25" customHeight="1">
      <x:c r="A35" s="8" t="str">
        <x:v>BR-DATA-11</x:v>
      </x:c>
      <x:c r="B35" s="8" t="str">
        <x:v>Controlled migration</x:v>
      </x:c>
      <x:c r="C35" s="8" t="str">
        <x:v>Should</x:v>
      </x:c>
      <x:c r="D35" s="8" t="str">
        <x:v>R2</x:v>
      </x:c>
      <x:c r="E35" s="8" t="str">
        <x:v>FR-DATA-11</x:v>
      </x:c>
      <x:c r="F35" s="8" t="str">
        <x:v>FSD DATA</x:v>
      </x:c>
      <x:c r="G35" s="8" t="str">
        <x:v>SCR03 SCR04 SCR05 SCR15</x:v>
      </x:c>
      <x:c r="H35" s="8" t="str">
        <x:v>C03 C04</x:v>
      </x:c>
      <x:c r="I35" s="8" t="str">
        <x:v>API005 API007 API008 API029 API030 API040 API041 API042 API043</x:v>
      </x:c>
      <x:c r="J35" s="8" t="str">
        <x:v>WP03</x:v>
      </x:c>
      <x:c r="K35" s="8" t="str">
        <x:v>TC-BR-DATA-11-A TC-BR-DATA-11-B</x:v>
      </x:c>
      <x:c r="L35" s="8" t="str">
        <x:v>Specified</x:v>
      </x:c>
      <x:c r="M35" s="10" t="str">
        <x:v>Not implemented</x:v>
      </x:c>
      <x:c r="N35" s="10" t="str">
        <x:v>Not run</x:v>
      </x:c>
    </x:row>
    <x:row r="36" ht="35.25" customHeight="1">
      <x:c r="A36" s="7" t="str">
        <x:v>BR-DATA-12</x:v>
      </x:c>
      <x:c r="B36" s="7" t="str">
        <x:v>Measurement of actual reuse</x:v>
      </x:c>
      <x:c r="C36" s="7" t="str">
        <x:v>Must</x:v>
      </x:c>
      <x:c r="D36" s="7" t="str">
        <x:v>R1</x:v>
      </x:c>
      <x:c r="E36" s="7" t="str">
        <x:v>FR-DATA-12</x:v>
      </x:c>
      <x:c r="F36" s="7" t="str">
        <x:v>FSD DATA</x:v>
      </x:c>
      <x:c r="G36" s="7" t="str">
        <x:v>SCR03 SCR04 SCR05 SCR15</x:v>
      </x:c>
      <x:c r="H36" s="7" t="str">
        <x:v>C03 C04</x:v>
      </x:c>
      <x:c r="I36" s="7" t="str">
        <x:v>API005 API007 API008 API029 API030 API040 API041 API042 API043</x:v>
      </x:c>
      <x:c r="J36" s="7" t="str">
        <x:v>WP03</x:v>
      </x:c>
      <x:c r="K36" s="7" t="str">
        <x:v>TC-BR-DATA-12-A TC-BR-DATA-12-B</x:v>
      </x:c>
      <x:c r="L36" s="7" t="str">
        <x:v>Specified</x:v>
      </x:c>
      <x:c r="M36" s="10" t="str">
        <x:v>Not implemented</x:v>
      </x:c>
      <x:c r="N36" s="10" t="str">
        <x:v>Not run</x:v>
      </x:c>
    </x:row>
    <x:row r="37" ht="30" customHeight="1">
      <x:c r="A37" s="8" t="str">
        <x:v>BR-PROG-01</x:v>
      </x:c>
      <x:c r="B37" s="8" t="str">
        <x:v>Versioned programme packs</x:v>
      </x:c>
      <x:c r="C37" s="8" t="str">
        <x:v>Must</x:v>
      </x:c>
      <x:c r="D37" s="8" t="str">
        <x:v>R1</x:v>
      </x:c>
      <x:c r="E37" s="8" t="str">
        <x:v>FR-PROG-01</x:v>
      </x:c>
      <x:c r="F37" s="8" t="str">
        <x:v>FSD PROG</x:v>
      </x:c>
      <x:c r="G37" s="8" t="str">
        <x:v>SCR03 SCR05 SCR08 SCR18</x:v>
      </x:c>
      <x:c r="H37" s="8" t="str">
        <x:v>C04 C05</x:v>
      </x:c>
      <x:c r="I37" s="8" t="str">
        <x:v>API034 API066 API067</x:v>
      </x:c>
      <x:c r="J37" s="8" t="str">
        <x:v>WP04</x:v>
      </x:c>
      <x:c r="K37" s="8" t="str">
        <x:v>TC-BR-PROG-01-A TC-BR-PROG-01-B</x:v>
      </x:c>
      <x:c r="L37" s="8" t="str">
        <x:v>Specified</x:v>
      </x:c>
      <x:c r="M37" s="10" t="str">
        <x:v>Not implemented</x:v>
      </x:c>
      <x:c r="N37" s="10" t="str">
        <x:v>Not run</x:v>
      </x:c>
    </x:row>
    <x:row r="38" ht="30" customHeight="1">
      <x:c r="A38" s="7" t="str">
        <x:v>BR-PROG-02</x:v>
      </x:c>
      <x:c r="B38" s="7" t="str">
        <x:v>Maternal health workflow</x:v>
      </x:c>
      <x:c r="C38" s="7" t="str">
        <x:v>Must</x:v>
      </x:c>
      <x:c r="D38" s="7" t="str">
        <x:v>R1</x:v>
      </x:c>
      <x:c r="E38" s="7" t="str">
        <x:v>FR-PROG-02</x:v>
      </x:c>
      <x:c r="F38" s="7" t="str">
        <x:v>FSD PROG</x:v>
      </x:c>
      <x:c r="G38" s="7" t="str">
        <x:v>SCR03 SCR05 SCR08 SCR18</x:v>
      </x:c>
      <x:c r="H38" s="7" t="str">
        <x:v>C04 C05</x:v>
      </x:c>
      <x:c r="I38" s="7" t="str">
        <x:v>API034 API066 API067</x:v>
      </x:c>
      <x:c r="J38" s="7" t="str">
        <x:v>WP04</x:v>
      </x:c>
      <x:c r="K38" s="7" t="str">
        <x:v>TC-BR-PROG-02-A TC-BR-PROG-02-B</x:v>
      </x:c>
      <x:c r="L38" s="7" t="str">
        <x:v>Specified</x:v>
      </x:c>
      <x:c r="M38" s="10" t="str">
        <x:v>Not implemented</x:v>
      </x:c>
      <x:c r="N38" s="10" t="str">
        <x:v>Not run</x:v>
      </x:c>
    </x:row>
    <x:row r="39" ht="30" customHeight="1">
      <x:c r="A39" s="8" t="str">
        <x:v>BR-PROG-03</x:v>
      </x:c>
      <x:c r="B39" s="8" t="str">
        <x:v>TB screening workflow</x:v>
      </x:c>
      <x:c r="C39" s="8" t="str">
        <x:v>Must</x:v>
      </x:c>
      <x:c r="D39" s="8" t="str">
        <x:v>R1</x:v>
      </x:c>
      <x:c r="E39" s="8" t="str">
        <x:v>FR-PROG-03</x:v>
      </x:c>
      <x:c r="F39" s="8" t="str">
        <x:v>FSD PROG</x:v>
      </x:c>
      <x:c r="G39" s="8" t="str">
        <x:v>SCR03 SCR05 SCR08 SCR18</x:v>
      </x:c>
      <x:c r="H39" s="8" t="str">
        <x:v>C04 C05</x:v>
      </x:c>
      <x:c r="I39" s="8" t="str">
        <x:v>API034 API066 API067</x:v>
      </x:c>
      <x:c r="J39" s="8" t="str">
        <x:v>WP04</x:v>
      </x:c>
      <x:c r="K39" s="8" t="str">
        <x:v>TC-BR-PROG-03-A TC-BR-PROG-03-B</x:v>
      </x:c>
      <x:c r="L39" s="8" t="str">
        <x:v>Specified</x:v>
      </x:c>
      <x:c r="M39" s="10" t="str">
        <x:v>Not implemented</x:v>
      </x:c>
      <x:c r="N39" s="10" t="str">
        <x:v>Not run</x:v>
      </x:c>
    </x:row>
    <x:row r="40" ht="30" customHeight="1">
      <x:c r="A40" s="7" t="str">
        <x:v>BR-PROG-04</x:v>
      </x:c>
      <x:c r="B40" s="7" t="str">
        <x:v>Hypertension follow-up workflow</x:v>
      </x:c>
      <x:c r="C40" s="7" t="str">
        <x:v>Must</x:v>
      </x:c>
      <x:c r="D40" s="7" t="str">
        <x:v>R1</x:v>
      </x:c>
      <x:c r="E40" s="7" t="str">
        <x:v>FR-PROG-04</x:v>
      </x:c>
      <x:c r="F40" s="7" t="str">
        <x:v>FSD PROG</x:v>
      </x:c>
      <x:c r="G40" s="7" t="str">
        <x:v>SCR03 SCR05 SCR08 SCR18</x:v>
      </x:c>
      <x:c r="H40" s="7" t="str">
        <x:v>C04 C05</x:v>
      </x:c>
      <x:c r="I40" s="7" t="str">
        <x:v>API034 API066 API067</x:v>
      </x:c>
      <x:c r="J40" s="7" t="str">
        <x:v>WP04</x:v>
      </x:c>
      <x:c r="K40" s="7" t="str">
        <x:v>TC-BR-PROG-04-A TC-BR-PROG-04-B</x:v>
      </x:c>
      <x:c r="L40" s="7" t="str">
        <x:v>Specified</x:v>
      </x:c>
      <x:c r="M40" s="10" t="str">
        <x:v>Not implemented</x:v>
      </x:c>
      <x:c r="N40" s="10" t="str">
        <x:v>Not run</x:v>
      </x:c>
    </x:row>
    <x:row r="41" ht="30" customHeight="1">
      <x:c r="A41" s="8" t="str">
        <x:v>BR-PROG-05</x:v>
      </x:c>
      <x:c r="B41" s="8" t="str">
        <x:v>Cross-programme scheduling</x:v>
      </x:c>
      <x:c r="C41" s="8" t="str">
        <x:v>Must</x:v>
      </x:c>
      <x:c r="D41" s="8" t="str">
        <x:v>R1</x:v>
      </x:c>
      <x:c r="E41" s="8" t="str">
        <x:v>FR-PROG-05</x:v>
      </x:c>
      <x:c r="F41" s="8" t="str">
        <x:v>FSD PROG</x:v>
      </x:c>
      <x:c r="G41" s="8" t="str">
        <x:v>SCR03 SCR05 SCR08 SCR18</x:v>
      </x:c>
      <x:c r="H41" s="8" t="str">
        <x:v>C04 C05</x:v>
      </x:c>
      <x:c r="I41" s="8" t="str">
        <x:v>API034 API066 API067</x:v>
      </x:c>
      <x:c r="J41" s="8" t="str">
        <x:v>WP04</x:v>
      </x:c>
      <x:c r="K41" s="8" t="str">
        <x:v>TC-BR-PROG-05-A TC-BR-PROG-05-B</x:v>
      </x:c>
      <x:c r="L41" s="8" t="str">
        <x:v>Specified</x:v>
      </x:c>
      <x:c r="M41" s="10" t="str">
        <x:v>Not implemented</x:v>
      </x:c>
      <x:c r="N41" s="10" t="str">
        <x:v>Not run</x:v>
      </x:c>
    </x:row>
    <x:row r="42" ht="30" customHeight="1">
      <x:c r="A42" s="7" t="str">
        <x:v>BR-PROG-06</x:v>
      </x:c>
      <x:c r="B42" s="7" t="str">
        <x:v>Eligibility and enrolment distinction</x:v>
      </x:c>
      <x:c r="C42" s="7" t="str">
        <x:v>Must</x:v>
      </x:c>
      <x:c r="D42" s="7" t="str">
        <x:v>R1</x:v>
      </x:c>
      <x:c r="E42" s="7" t="str">
        <x:v>FR-PROG-06</x:v>
      </x:c>
      <x:c r="F42" s="7" t="str">
        <x:v>FSD PROG</x:v>
      </x:c>
      <x:c r="G42" s="7" t="str">
        <x:v>SCR03 SCR05 SCR08 SCR18</x:v>
      </x:c>
      <x:c r="H42" s="7" t="str">
        <x:v>C04 C05</x:v>
      </x:c>
      <x:c r="I42" s="7" t="str">
        <x:v>API034 API066 API067</x:v>
      </x:c>
      <x:c r="J42" s="7" t="str">
        <x:v>WP04</x:v>
      </x:c>
      <x:c r="K42" s="7" t="str">
        <x:v>TC-BR-PROG-06-A TC-BR-PROG-06-B</x:v>
      </x:c>
      <x:c r="L42" s="7" t="str">
        <x:v>Specified</x:v>
      </x:c>
      <x:c r="M42" s="10" t="str">
        <x:v>Not implemented</x:v>
      </x:c>
      <x:c r="N42" s="10" t="str">
        <x:v>Not run</x:v>
      </x:c>
    </x:row>
    <x:row r="43" ht="30" customHeight="1">
      <x:c r="A43" s="8" t="str">
        <x:v>BR-PROG-07</x:v>
      </x:c>
      <x:c r="B43" s="8" t="str">
        <x:v>Protocol change and case continuity</x:v>
      </x:c>
      <x:c r="C43" s="8" t="str">
        <x:v>Must</x:v>
      </x:c>
      <x:c r="D43" s="8" t="str">
        <x:v>R1</x:v>
      </x:c>
      <x:c r="E43" s="8" t="str">
        <x:v>FR-PROG-07</x:v>
      </x:c>
      <x:c r="F43" s="8" t="str">
        <x:v>FSD PROG</x:v>
      </x:c>
      <x:c r="G43" s="8" t="str">
        <x:v>SCR03 SCR05 SCR08 SCR18</x:v>
      </x:c>
      <x:c r="H43" s="8" t="str">
        <x:v>C04 C05</x:v>
      </x:c>
      <x:c r="I43" s="8" t="str">
        <x:v>API034 API066 API067</x:v>
      </x:c>
      <x:c r="J43" s="8" t="str">
        <x:v>WP04</x:v>
      </x:c>
      <x:c r="K43" s="8" t="str">
        <x:v>TC-BR-PROG-07-A TC-BR-PROG-07-B</x:v>
      </x:c>
      <x:c r="L43" s="8" t="str">
        <x:v>Specified</x:v>
      </x:c>
      <x:c r="M43" s="10" t="str">
        <x:v>Not implemented</x:v>
      </x:c>
      <x:c r="N43" s="10" t="str">
        <x:v>Not run</x:v>
      </x:c>
    </x:row>
    <x:row r="44" ht="30" customHeight="1">
      <x:c r="A44" s="7" t="str">
        <x:v>BR-PROG-08</x:v>
      </x:c>
      <x:c r="B44" s="7" t="str">
        <x:v>Additional programme packs</x:v>
      </x:c>
      <x:c r="C44" s="7" t="str">
        <x:v>Should</x:v>
      </x:c>
      <x:c r="D44" s="7" t="str">
        <x:v>R2</x:v>
      </x:c>
      <x:c r="E44" s="7" t="str">
        <x:v>FR-PROG-08</x:v>
      </x:c>
      <x:c r="F44" s="7" t="str">
        <x:v>FSD PROG</x:v>
      </x:c>
      <x:c r="G44" s="7" t="str">
        <x:v>SCR03 SCR05 SCR08 SCR18</x:v>
      </x:c>
      <x:c r="H44" s="7" t="str">
        <x:v>C04 C05</x:v>
      </x:c>
      <x:c r="I44" s="7" t="str">
        <x:v>API034 API066 API067</x:v>
      </x:c>
      <x:c r="J44" s="7" t="str">
        <x:v>WP04</x:v>
      </x:c>
      <x:c r="K44" s="7" t="str">
        <x:v>TC-BR-PROG-08-A TC-BR-PROG-08-B</x:v>
      </x:c>
      <x:c r="L44" s="7" t="str">
        <x:v>Specified</x:v>
      </x:c>
      <x:c r="M44" s="10" t="str">
        <x:v>Not implemented</x:v>
      </x:c>
      <x:c r="N44" s="10" t="str">
        <x:v>Not run</x:v>
      </x:c>
    </x:row>
    <x:row r="45" ht="30" customHeight="1">
      <x:c r="A45" s="8" t="str">
        <x:v>BR-AG-01</x:v>
      </x:c>
      <x:c r="B45" s="8" t="str">
        <x:v>Bounded task planning</x:v>
      </x:c>
      <x:c r="C45" s="8" t="str">
        <x:v>Must</x:v>
      </x:c>
      <x:c r="D45" s="8" t="str">
        <x:v>R1</x:v>
      </x:c>
      <x:c r="E45" s="8" t="str">
        <x:v>FR-AG-01</x:v>
      </x:c>
      <x:c r="F45" s="8" t="str">
        <x:v>FSD AG</x:v>
      </x:c>
      <x:c r="G45" s="8" t="str">
        <x:v>SCR04 SCR05 SCR06 SCR07 SCR12</x:v>
      </x:c>
      <x:c r="H45" s="8" t="str">
        <x:v>C05 C06</x:v>
      </x:c>
      <x:c r="I45" s="8" t="str">
        <x:v>API011 API012 API013 API014 API046 API047</x:v>
      </x:c>
      <x:c r="J45" s="8" t="str">
        <x:v>WP05</x:v>
      </x:c>
      <x:c r="K45" s="8" t="str">
        <x:v>TC-BR-AG-01-A TC-BR-AG-01-B</x:v>
      </x:c>
      <x:c r="L45" s="8" t="str">
        <x:v>Specified</x:v>
      </x:c>
      <x:c r="M45" s="10" t="str">
        <x:v>Not implemented</x:v>
      </x:c>
      <x:c r="N45" s="10" t="str">
        <x:v>Not run</x:v>
      </x:c>
    </x:row>
    <x:row r="46" ht="30" customHeight="1">
      <x:c r="A46" s="7" t="str">
        <x:v>BR-AG-02</x:v>
      </x:c>
      <x:c r="B46" s="7" t="str">
        <x:v>Context restricted to the task</x:v>
      </x:c>
      <x:c r="C46" s="7" t="str">
        <x:v>Must</x:v>
      </x:c>
      <x:c r="D46" s="7" t="str">
        <x:v>R1</x:v>
      </x:c>
      <x:c r="E46" s="7" t="str">
        <x:v>FR-AG-02</x:v>
      </x:c>
      <x:c r="F46" s="7" t="str">
        <x:v>FSD AG</x:v>
      </x:c>
      <x:c r="G46" s="7" t="str">
        <x:v>SCR04 SCR05 SCR06 SCR07 SCR12</x:v>
      </x:c>
      <x:c r="H46" s="7" t="str">
        <x:v>C05 C06</x:v>
      </x:c>
      <x:c r="I46" s="7" t="str">
        <x:v>API011 API012 API013 API014 API046 API047</x:v>
      </x:c>
      <x:c r="J46" s="7" t="str">
        <x:v>WP05</x:v>
      </x:c>
      <x:c r="K46" s="7" t="str">
        <x:v>TC-BR-AG-02-A TC-BR-AG-02-B</x:v>
      </x:c>
      <x:c r="L46" s="7" t="str">
        <x:v>Specified</x:v>
      </x:c>
      <x:c r="M46" s="10" t="str">
        <x:v>Not implemented</x:v>
      </x:c>
      <x:c r="N46" s="10" t="str">
        <x:v>Not run</x:v>
      </x:c>
    </x:row>
    <x:row r="47" ht="30" customHeight="1">
      <x:c r="A47" s="8" t="str">
        <x:v>BR-AG-03</x:v>
      </x:c>
      <x:c r="B47" s="8" t="str">
        <x:v>Eligibility before tool selection</x:v>
      </x:c>
      <x:c r="C47" s="8" t="str">
        <x:v>Must</x:v>
      </x:c>
      <x:c r="D47" s="8" t="str">
        <x:v>R1</x:v>
      </x:c>
      <x:c r="E47" s="8" t="str">
        <x:v>FR-AG-03</x:v>
      </x:c>
      <x:c r="F47" s="8" t="str">
        <x:v>FSD AG</x:v>
      </x:c>
      <x:c r="G47" s="8" t="str">
        <x:v>SCR04 SCR05 SCR06 SCR07 SCR12</x:v>
      </x:c>
      <x:c r="H47" s="8" t="str">
        <x:v>C05 C06</x:v>
      </x:c>
      <x:c r="I47" s="8" t="str">
        <x:v>API011 API012 API013 API014 API046 API047</x:v>
      </x:c>
      <x:c r="J47" s="8" t="str">
        <x:v>WP05</x:v>
      </x:c>
      <x:c r="K47" s="8" t="str">
        <x:v>TC-BR-AG-03-A TC-BR-AG-03-B</x:v>
      </x:c>
      <x:c r="L47" s="8" t="str">
        <x:v>Specified</x:v>
      </x:c>
      <x:c r="M47" s="10" t="str">
        <x:v>Not implemented</x:v>
      </x:c>
      <x:c r="N47" s="10" t="str">
        <x:v>Not run</x:v>
      </x:c>
    </x:row>
    <x:row r="48" ht="30" customHeight="1">
      <x:c r="A48" s="7" t="str">
        <x:v>BR-AG-04</x:v>
      </x:c>
      <x:c r="B48" s="7" t="str">
        <x:v>Approved execution paths</x:v>
      </x:c>
      <x:c r="C48" s="7" t="str">
        <x:v>Must</x:v>
      </x:c>
      <x:c r="D48" s="7" t="str">
        <x:v>R1</x:v>
      </x:c>
      <x:c r="E48" s="7" t="str">
        <x:v>FR-AG-04</x:v>
      </x:c>
      <x:c r="F48" s="7" t="str">
        <x:v>FSD AG</x:v>
      </x:c>
      <x:c r="G48" s="7" t="str">
        <x:v>SCR04 SCR05 SCR06 SCR07 SCR12</x:v>
      </x:c>
      <x:c r="H48" s="7" t="str">
        <x:v>C05 C06</x:v>
      </x:c>
      <x:c r="I48" s="7" t="str">
        <x:v>API011 API012 API013 API014 API046 API047</x:v>
      </x:c>
      <x:c r="J48" s="7" t="str">
        <x:v>WP05</x:v>
      </x:c>
      <x:c r="K48" s="7" t="str">
        <x:v>TC-BR-AG-04-A TC-BR-AG-04-B</x:v>
      </x:c>
      <x:c r="L48" s="7" t="str">
        <x:v>Specified</x:v>
      </x:c>
      <x:c r="M48" s="10" t="str">
        <x:v>Not implemented</x:v>
      </x:c>
      <x:c r="N48" s="10" t="str">
        <x:v>Not run</x:v>
      </x:c>
    </x:row>
    <x:row r="49" ht="30" customHeight="1">
      <x:c r="A49" s="8" t="str">
        <x:v>BR-AG-05</x:v>
      </x:c>
      <x:c r="B49" s="8" t="str">
        <x:v>Human authority at action boundaries</x:v>
      </x:c>
      <x:c r="C49" s="8" t="str">
        <x:v>Must</x:v>
      </x:c>
      <x:c r="D49" s="8" t="str">
        <x:v>R1</x:v>
      </x:c>
      <x:c r="E49" s="8" t="str">
        <x:v>FR-AG-05</x:v>
      </x:c>
      <x:c r="F49" s="8" t="str">
        <x:v>FSD AG</x:v>
      </x:c>
      <x:c r="G49" s="8" t="str">
        <x:v>SCR04 SCR05 SCR06 SCR07 SCR12</x:v>
      </x:c>
      <x:c r="H49" s="8" t="str">
        <x:v>C05 C06</x:v>
      </x:c>
      <x:c r="I49" s="8" t="str">
        <x:v>API011 API012 API013 API014 API046 API047</x:v>
      </x:c>
      <x:c r="J49" s="8" t="str">
        <x:v>WP05</x:v>
      </x:c>
      <x:c r="K49" s="8" t="str">
        <x:v>TC-BR-AG-05-A TC-BR-AG-05-B</x:v>
      </x:c>
      <x:c r="L49" s="8" t="str">
        <x:v>Specified</x:v>
      </x:c>
      <x:c r="M49" s="10" t="str">
        <x:v>Not implemented</x:v>
      </x:c>
      <x:c r="N49" s="10" t="str">
        <x:v>Not run</x:v>
      </x:c>
    </x:row>
    <x:row r="50" ht="30" customHeight="1">
      <x:c r="A50" s="7" t="str">
        <x:v>BR-AG-06</x:v>
      </x:c>
      <x:c r="B50" s="7" t="str">
        <x:v>Durable progress and recovery</x:v>
      </x:c>
      <x:c r="C50" s="7" t="str">
        <x:v>Must</x:v>
      </x:c>
      <x:c r="D50" s="7" t="str">
        <x:v>R1</x:v>
      </x:c>
      <x:c r="E50" s="7" t="str">
        <x:v>FR-AG-06</x:v>
      </x:c>
      <x:c r="F50" s="7" t="str">
        <x:v>FSD AG</x:v>
      </x:c>
      <x:c r="G50" s="7" t="str">
        <x:v>SCR04 SCR05 SCR06 SCR07 SCR12</x:v>
      </x:c>
      <x:c r="H50" s="7" t="str">
        <x:v>C05 C06</x:v>
      </x:c>
      <x:c r="I50" s="7" t="str">
        <x:v>API011 API012 API013 API014 API046 API047</x:v>
      </x:c>
      <x:c r="J50" s="7" t="str">
        <x:v>WP05</x:v>
      </x:c>
      <x:c r="K50" s="7" t="str">
        <x:v>TC-BR-AG-06-A TC-BR-AG-06-B</x:v>
      </x:c>
      <x:c r="L50" s="7" t="str">
        <x:v>Specified</x:v>
      </x:c>
      <x:c r="M50" s="10" t="str">
        <x:v>Not implemented</x:v>
      </x:c>
      <x:c r="N50" s="10" t="str">
        <x:v>Not run</x:v>
      </x:c>
    </x:row>
    <x:row r="51" ht="30" customHeight="1">
      <x:c r="A51" s="8" t="str">
        <x:v>BR-AG-07</x:v>
      </x:c>
      <x:c r="B51" s="8" t="str">
        <x:v>Limits and cancellation</x:v>
      </x:c>
      <x:c r="C51" s="8" t="str">
        <x:v>Must</x:v>
      </x:c>
      <x:c r="D51" s="8" t="str">
        <x:v>R1</x:v>
      </x:c>
      <x:c r="E51" s="8" t="str">
        <x:v>FR-AG-07</x:v>
      </x:c>
      <x:c r="F51" s="8" t="str">
        <x:v>FSD AG</x:v>
      </x:c>
      <x:c r="G51" s="8" t="str">
        <x:v>SCR04 SCR05 SCR06 SCR07 SCR12</x:v>
      </x:c>
      <x:c r="H51" s="8" t="str">
        <x:v>C05 C06</x:v>
      </x:c>
      <x:c r="I51" s="8" t="str">
        <x:v>API011 API012 API013 API014 API046 API047</x:v>
      </x:c>
      <x:c r="J51" s="8" t="str">
        <x:v>WP05</x:v>
      </x:c>
      <x:c r="K51" s="8" t="str">
        <x:v>TC-BR-AG-07-A TC-BR-AG-07-B</x:v>
      </x:c>
      <x:c r="L51" s="8" t="str">
        <x:v>Specified</x:v>
      </x:c>
      <x:c r="M51" s="10" t="str">
        <x:v>Not implemented</x:v>
      </x:c>
      <x:c r="N51" s="10" t="str">
        <x:v>Not run</x:v>
      </x:c>
    </x:row>
    <x:row r="52" ht="30" customHeight="1">
      <x:c r="A52" s="7" t="str">
        <x:v>BR-AG-08</x:v>
      </x:c>
      <x:c r="B52" s="7" t="str">
        <x:v>Conflicting outputs</x:v>
      </x:c>
      <x:c r="C52" s="7" t="str">
        <x:v>Must</x:v>
      </x:c>
      <x:c r="D52" s="7" t="str">
        <x:v>R1</x:v>
      </x:c>
      <x:c r="E52" s="7" t="str">
        <x:v>FR-AG-08</x:v>
      </x:c>
      <x:c r="F52" s="7" t="str">
        <x:v>FSD AG</x:v>
      </x:c>
      <x:c r="G52" s="7" t="str">
        <x:v>SCR04 SCR05 SCR06 SCR07 SCR12</x:v>
      </x:c>
      <x:c r="H52" s="7" t="str">
        <x:v>C05 C06</x:v>
      </x:c>
      <x:c r="I52" s="7" t="str">
        <x:v>API011 API012 API013 API014 API046 API047</x:v>
      </x:c>
      <x:c r="J52" s="7" t="str">
        <x:v>WP05</x:v>
      </x:c>
      <x:c r="K52" s="7" t="str">
        <x:v>TC-BR-AG-08-A TC-BR-AG-08-B</x:v>
      </x:c>
      <x:c r="L52" s="7" t="str">
        <x:v>Specified</x:v>
      </x:c>
      <x:c r="M52" s="10" t="str">
        <x:v>Not implemented</x:v>
      </x:c>
      <x:c r="N52" s="10" t="str">
        <x:v>Not run</x:v>
      </x:c>
    </x:row>
    <x:row r="53" ht="30" customHeight="1">
      <x:c r="A53" s="8" t="str">
        <x:v>BR-AG-09</x:v>
      </x:c>
      <x:c r="B53" s="8" t="str">
        <x:v>Evidence behind explanations</x:v>
      </x:c>
      <x:c r="C53" s="8" t="str">
        <x:v>Must</x:v>
      </x:c>
      <x:c r="D53" s="8" t="str">
        <x:v>R1</x:v>
      </x:c>
      <x:c r="E53" s="8" t="str">
        <x:v>FR-AG-09</x:v>
      </x:c>
      <x:c r="F53" s="8" t="str">
        <x:v>FSD AG</x:v>
      </x:c>
      <x:c r="G53" s="8" t="str">
        <x:v>SCR04 SCR05 SCR06 SCR07 SCR12</x:v>
      </x:c>
      <x:c r="H53" s="8" t="str">
        <x:v>C05 C06</x:v>
      </x:c>
      <x:c r="I53" s="8" t="str">
        <x:v>API011 API012 API013 API014 API046 API047</x:v>
      </x:c>
      <x:c r="J53" s="8" t="str">
        <x:v>WP05</x:v>
      </x:c>
      <x:c r="K53" s="8" t="str">
        <x:v>TC-BR-AG-09-A TC-BR-AG-09-B</x:v>
      </x:c>
      <x:c r="L53" s="8" t="str">
        <x:v>Specified</x:v>
      </x:c>
      <x:c r="M53" s="10" t="str">
        <x:v>Not implemented</x:v>
      </x:c>
      <x:c r="N53" s="10" t="str">
        <x:v>Not run</x:v>
      </x:c>
    </x:row>
    <x:row r="54" ht="30" customHeight="1">
      <x:c r="A54" s="7" t="str">
        <x:v>BR-AG-10</x:v>
      </x:c>
      <x:c r="B54" s="7" t="str">
        <x:v>Clinical workflow continuity without an LLM</x:v>
      </x:c>
      <x:c r="C54" s="7" t="str">
        <x:v>Must</x:v>
      </x:c>
      <x:c r="D54" s="7" t="str">
        <x:v>R1</x:v>
      </x:c>
      <x:c r="E54" s="7" t="str">
        <x:v>FR-AG-10</x:v>
      </x:c>
      <x:c r="F54" s="7" t="str">
        <x:v>FSD AG</x:v>
      </x:c>
      <x:c r="G54" s="7" t="str">
        <x:v>SCR04 SCR05 SCR06 SCR07 SCR12</x:v>
      </x:c>
      <x:c r="H54" s="7" t="str">
        <x:v>C05 C06</x:v>
      </x:c>
      <x:c r="I54" s="7" t="str">
        <x:v>API011 API012 API013 API014 API046 API047</x:v>
      </x:c>
      <x:c r="J54" s="7" t="str">
        <x:v>WP05</x:v>
      </x:c>
      <x:c r="K54" s="7" t="str">
        <x:v>TC-BR-AG-10-A TC-BR-AG-10-B</x:v>
      </x:c>
      <x:c r="L54" s="7" t="str">
        <x:v>Specified</x:v>
      </x:c>
      <x:c r="M54" s="10" t="str">
        <x:v>Not implemented</x:v>
      </x:c>
      <x:c r="N54" s="10" t="str">
        <x:v>Not run</x:v>
      </x:c>
    </x:row>
    <x:row r="55" ht="30" customHeight="1">
      <x:c r="A55" s="8" t="str">
        <x:v>BR-AG-11</x:v>
      </x:c>
      <x:c r="B55" s="8" t="str">
        <x:v>Programme manager analysis</x:v>
      </x:c>
      <x:c r="C55" s="8" t="str">
        <x:v>Should</x:v>
      </x:c>
      <x:c r="D55" s="8" t="str">
        <x:v>R2</x:v>
      </x:c>
      <x:c r="E55" s="8" t="str">
        <x:v>FR-AG-11</x:v>
      </x:c>
      <x:c r="F55" s="8" t="str">
        <x:v>FSD AG</x:v>
      </x:c>
      <x:c r="G55" s="8" t="str">
        <x:v>SCR04 SCR05 SCR06 SCR07 SCR12</x:v>
      </x:c>
      <x:c r="H55" s="8" t="str">
        <x:v>C05 C06</x:v>
      </x:c>
      <x:c r="I55" s="8" t="str">
        <x:v>API011 API012 API013 API014 API046 API047</x:v>
      </x:c>
      <x:c r="J55" s="8" t="str">
        <x:v>WP05</x:v>
      </x:c>
      <x:c r="K55" s="8" t="str">
        <x:v>TC-BR-AG-11-A TC-BR-AG-11-B</x:v>
      </x:c>
      <x:c r="L55" s="8" t="str">
        <x:v>Specified</x:v>
      </x:c>
      <x:c r="M55" s="10" t="str">
        <x:v>Not implemented</x:v>
      </x:c>
      <x:c r="N55" s="10" t="str">
        <x:v>Not run</x:v>
      </x:c>
    </x:row>
    <x:row r="56" ht="30" customHeight="1">
      <x:c r="A56" s="7" t="str">
        <x:v>BR-AG-12</x:v>
      </x:c>
      <x:c r="B56" s="7" t="str">
        <x:v>Change control for the agent</x:v>
      </x:c>
      <x:c r="C56" s="7" t="str">
        <x:v>Must</x:v>
      </x:c>
      <x:c r="D56" s="7" t="str">
        <x:v>R1</x:v>
      </x:c>
      <x:c r="E56" s="7" t="str">
        <x:v>FR-AG-12</x:v>
      </x:c>
      <x:c r="F56" s="7" t="str">
        <x:v>FSD AG</x:v>
      </x:c>
      <x:c r="G56" s="7" t="str">
        <x:v>SCR04 SCR05 SCR06 SCR07 SCR12</x:v>
      </x:c>
      <x:c r="H56" s="7" t="str">
        <x:v>C05 C06</x:v>
      </x:c>
      <x:c r="I56" s="7" t="str">
        <x:v>API011 API012 API013 API014 API046 API047</x:v>
      </x:c>
      <x:c r="J56" s="7" t="str">
        <x:v>WP05</x:v>
      </x:c>
      <x:c r="K56" s="7" t="str">
        <x:v>TC-BR-AG-12-A TC-BR-AG-12-B</x:v>
      </x:c>
      <x:c r="L56" s="7" t="str">
        <x:v>Specified</x:v>
      </x:c>
      <x:c r="M56" s="10" t="str">
        <x:v>Not implemented</x:v>
      </x:c>
      <x:c r="N56" s="10" t="str">
        <x:v>Not run</x:v>
      </x:c>
    </x:row>
    <x:row r="57" ht="35.25" customHeight="1">
      <x:c r="A57" s="8" t="str">
        <x:v>BR-AI-01</x:v>
      </x:c>
      <x:c r="B57" s="8" t="str">
        <x:v>Capability registration</x:v>
      </x:c>
      <x:c r="C57" s="8" t="str">
        <x:v>Must</x:v>
      </x:c>
      <x:c r="D57" s="8" t="str">
        <x:v>R1</x:v>
      </x:c>
      <x:c r="E57" s="8" t="str">
        <x:v>FR-AI-01</x:v>
      </x:c>
      <x:c r="F57" s="8" t="str">
        <x:v>FSD AI</x:v>
      </x:c>
      <x:c r="G57" s="8" t="str">
        <x:v>SCR06 SCR19 SCR20</x:v>
      </x:c>
      <x:c r="H57" s="8" t="str">
        <x:v>C06 C07</x:v>
      </x:c>
      <x:c r="I57" s="8" t="str">
        <x:v>API015 API016 API017 API018 API048 API049 API050 API051</x:v>
      </x:c>
      <x:c r="J57" s="8" t="str">
        <x:v>WP05</x:v>
      </x:c>
      <x:c r="K57" s="8" t="str">
        <x:v>TC-BR-AI-01-A TC-BR-AI-01-B</x:v>
      </x:c>
      <x:c r="L57" s="8" t="str">
        <x:v>Specified</x:v>
      </x:c>
      <x:c r="M57" s="10" t="str">
        <x:v>Not implemented</x:v>
      </x:c>
      <x:c r="N57" s="10" t="str">
        <x:v>Not run</x:v>
      </x:c>
    </x:row>
    <x:row r="58" ht="35.25" customHeight="1">
      <x:c r="A58" s="7" t="str">
        <x:v>BR-AI-02</x:v>
      </x:c>
      <x:c r="B58" s="7" t="str">
        <x:v>Intended use and excluded use</x:v>
      </x:c>
      <x:c r="C58" s="7" t="str">
        <x:v>Must</x:v>
      </x:c>
      <x:c r="D58" s="7" t="str">
        <x:v>R1</x:v>
      </x:c>
      <x:c r="E58" s="7" t="str">
        <x:v>FR-AI-02</x:v>
      </x:c>
      <x:c r="F58" s="7" t="str">
        <x:v>FSD AI</x:v>
      </x:c>
      <x:c r="G58" s="7" t="str">
        <x:v>SCR06 SCR19 SCR20</x:v>
      </x:c>
      <x:c r="H58" s="7" t="str">
        <x:v>C06 C07</x:v>
      </x:c>
      <x:c r="I58" s="7" t="str">
        <x:v>API015 API016 API017 API018 API048 API049 API050 API051</x:v>
      </x:c>
      <x:c r="J58" s="7" t="str">
        <x:v>WP05</x:v>
      </x:c>
      <x:c r="K58" s="7" t="str">
        <x:v>TC-BR-AI-02-A TC-BR-AI-02-B</x:v>
      </x:c>
      <x:c r="L58" s="7" t="str">
        <x:v>Specified</x:v>
      </x:c>
      <x:c r="M58" s="10" t="str">
        <x:v>Not implemented</x:v>
      </x:c>
      <x:c r="N58" s="10" t="str">
        <x:v>Not run</x:v>
      </x:c>
    </x:row>
    <x:row r="59" ht="35.25" customHeight="1">
      <x:c r="A59" s="8" t="str">
        <x:v>BR-AI-03</x:v>
      </x:c>
      <x:c r="B59" s="8" t="str">
        <x:v>Evidence and deployment authorisation</x:v>
      </x:c>
      <x:c r="C59" s="8" t="str">
        <x:v>Must</x:v>
      </x:c>
      <x:c r="D59" s="8" t="str">
        <x:v>R1</x:v>
      </x:c>
      <x:c r="E59" s="8" t="str">
        <x:v>FR-AI-03</x:v>
      </x:c>
      <x:c r="F59" s="8" t="str">
        <x:v>FSD AI</x:v>
      </x:c>
      <x:c r="G59" s="8" t="str">
        <x:v>SCR06 SCR19 SCR20</x:v>
      </x:c>
      <x:c r="H59" s="8" t="str">
        <x:v>C06 C07</x:v>
      </x:c>
      <x:c r="I59" s="8" t="str">
        <x:v>API015 API016 API017 API018 API048 API049 API050 API051</x:v>
      </x:c>
      <x:c r="J59" s="8" t="str">
        <x:v>WP05</x:v>
      </x:c>
      <x:c r="K59" s="8" t="str">
        <x:v>TC-BR-AI-03-A TC-BR-AI-03-B</x:v>
      </x:c>
      <x:c r="L59" s="8" t="str">
        <x:v>Specified</x:v>
      </x:c>
      <x:c r="M59" s="10" t="str">
        <x:v>Not implemented</x:v>
      </x:c>
      <x:c r="N59" s="10" t="str">
        <x:v>Not run</x:v>
      </x:c>
    </x:row>
    <x:row r="60" ht="35.25" customHeight="1">
      <x:c r="A60" s="7" t="str">
        <x:v>BR-AI-04</x:v>
      </x:c>
      <x:c r="B60" s="7" t="str">
        <x:v>Capability lifecycle</x:v>
      </x:c>
      <x:c r="C60" s="7" t="str">
        <x:v>Must</x:v>
      </x:c>
      <x:c r="D60" s="7" t="str">
        <x:v>R1</x:v>
      </x:c>
      <x:c r="E60" s="7" t="str">
        <x:v>FR-AI-04</x:v>
      </x:c>
      <x:c r="F60" s="7" t="str">
        <x:v>FSD AI</x:v>
      </x:c>
      <x:c r="G60" s="7" t="str">
        <x:v>SCR06 SCR19 SCR20</x:v>
      </x:c>
      <x:c r="H60" s="7" t="str">
        <x:v>C06 C07</x:v>
      </x:c>
      <x:c r="I60" s="7" t="str">
        <x:v>API015 API016 API017 API018 API048 API049 API050 API051</x:v>
      </x:c>
      <x:c r="J60" s="7" t="str">
        <x:v>WP05</x:v>
      </x:c>
      <x:c r="K60" s="7" t="str">
        <x:v>TC-BR-AI-04-A TC-BR-AI-04-B</x:v>
      </x:c>
      <x:c r="L60" s="7" t="str">
        <x:v>Specified</x:v>
      </x:c>
      <x:c r="M60" s="10" t="str">
        <x:v>Not implemented</x:v>
      </x:c>
      <x:c r="N60" s="10" t="str">
        <x:v>Not run</x:v>
      </x:c>
    </x:row>
    <x:row r="61" ht="35.25" customHeight="1">
      <x:c r="A61" s="8" t="str">
        <x:v>BR-AI-05</x:v>
      </x:c>
      <x:c r="B61" s="8" t="str">
        <x:v>Contract validation</x:v>
      </x:c>
      <x:c r="C61" s="8" t="str">
        <x:v>Must</x:v>
      </x:c>
      <x:c r="D61" s="8" t="str">
        <x:v>R1</x:v>
      </x:c>
      <x:c r="E61" s="8" t="str">
        <x:v>FR-AI-05</x:v>
      </x:c>
      <x:c r="F61" s="8" t="str">
        <x:v>FSD AI</x:v>
      </x:c>
      <x:c r="G61" s="8" t="str">
        <x:v>SCR06 SCR19 SCR20</x:v>
      </x:c>
      <x:c r="H61" s="8" t="str">
        <x:v>C06 C07</x:v>
      </x:c>
      <x:c r="I61" s="8" t="str">
        <x:v>API015 API016 API017 API018 API048 API049 API050 API051</x:v>
      </x:c>
      <x:c r="J61" s="8" t="str">
        <x:v>WP05</x:v>
      </x:c>
      <x:c r="K61" s="8" t="str">
        <x:v>TC-BR-AI-05-A TC-BR-AI-05-B</x:v>
      </x:c>
      <x:c r="L61" s="8" t="str">
        <x:v>Specified</x:v>
      </x:c>
      <x:c r="M61" s="10" t="str">
        <x:v>Not implemented</x:v>
      </x:c>
      <x:c r="N61" s="10" t="str">
        <x:v>Not run</x:v>
      </x:c>
    </x:row>
    <x:row r="62" ht="35.25" customHeight="1">
      <x:c r="A62" s="7" t="str">
        <x:v>BR-AI-06</x:v>
      </x:c>
      <x:c r="B62" s="7" t="str">
        <x:v>Input quality and inability to assess</x:v>
      </x:c>
      <x:c r="C62" s="7" t="str">
        <x:v>Must</x:v>
      </x:c>
      <x:c r="D62" s="7" t="str">
        <x:v>R1</x:v>
      </x:c>
      <x:c r="E62" s="7" t="str">
        <x:v>FR-AI-06</x:v>
      </x:c>
      <x:c r="F62" s="7" t="str">
        <x:v>FSD AI</x:v>
      </x:c>
      <x:c r="G62" s="7" t="str">
        <x:v>SCR06 SCR19 SCR20</x:v>
      </x:c>
      <x:c r="H62" s="7" t="str">
        <x:v>C06 C07</x:v>
      </x:c>
      <x:c r="I62" s="7" t="str">
        <x:v>API015 API016 API017 API018 API048 API049 API050 API051</x:v>
      </x:c>
      <x:c r="J62" s="7" t="str">
        <x:v>WP05</x:v>
      </x:c>
      <x:c r="K62" s="7" t="str">
        <x:v>TC-BR-AI-06-A TC-BR-AI-06-B</x:v>
      </x:c>
      <x:c r="L62" s="7" t="str">
        <x:v>Specified</x:v>
      </x:c>
      <x:c r="M62" s="10" t="str">
        <x:v>Not implemented</x:v>
      </x:c>
      <x:c r="N62" s="10" t="str">
        <x:v>Not run</x:v>
      </x:c>
    </x:row>
    <x:row r="63" ht="35.25" customHeight="1">
      <x:c r="A63" s="8" t="str">
        <x:v>BR-AI-07</x:v>
      </x:c>
      <x:c r="B63" s="8" t="str">
        <x:v>Version pinning</x:v>
      </x:c>
      <x:c r="C63" s="8" t="str">
        <x:v>Must</x:v>
      </x:c>
      <x:c r="D63" s="8" t="str">
        <x:v>R1</x:v>
      </x:c>
      <x:c r="E63" s="8" t="str">
        <x:v>FR-AI-07</x:v>
      </x:c>
      <x:c r="F63" s="8" t="str">
        <x:v>FSD AI</x:v>
      </x:c>
      <x:c r="G63" s="8" t="str">
        <x:v>SCR06 SCR19 SCR20</x:v>
      </x:c>
      <x:c r="H63" s="8" t="str">
        <x:v>C06 C07</x:v>
      </x:c>
      <x:c r="I63" s="8" t="str">
        <x:v>API015 API016 API017 API018 API048 API049 API050 API051</x:v>
      </x:c>
      <x:c r="J63" s="8" t="str">
        <x:v>WP05</x:v>
      </x:c>
      <x:c r="K63" s="8" t="str">
        <x:v>TC-BR-AI-07-A TC-BR-AI-07-B</x:v>
      </x:c>
      <x:c r="L63" s="8" t="str">
        <x:v>Specified</x:v>
      </x:c>
      <x:c r="M63" s="10" t="str">
        <x:v>Not implemented</x:v>
      </x:c>
      <x:c r="N63" s="10" t="str">
        <x:v>Not run</x:v>
      </x:c>
    </x:row>
    <x:row r="64" ht="35.25" customHeight="1">
      <x:c r="A64" s="7" t="str">
        <x:v>BR-AI-08</x:v>
      </x:c>
      <x:c r="B64" s="7" t="str">
        <x:v>Least-data provider invocation</x:v>
      </x:c>
      <x:c r="C64" s="7" t="str">
        <x:v>Must</x:v>
      </x:c>
      <x:c r="D64" s="7" t="str">
        <x:v>R1</x:v>
      </x:c>
      <x:c r="E64" s="7" t="str">
        <x:v>FR-AI-08</x:v>
      </x:c>
      <x:c r="F64" s="7" t="str">
        <x:v>FSD AI</x:v>
      </x:c>
      <x:c r="G64" s="7" t="str">
        <x:v>SCR06 SCR19 SCR20</x:v>
      </x:c>
      <x:c r="H64" s="7" t="str">
        <x:v>C06 C07</x:v>
      </x:c>
      <x:c r="I64" s="7" t="str">
        <x:v>API015 API016 API017 API018 API048 API049 API050 API051</x:v>
      </x:c>
      <x:c r="J64" s="7" t="str">
        <x:v>WP05</x:v>
      </x:c>
      <x:c r="K64" s="7" t="str">
        <x:v>TC-BR-AI-08-A TC-BR-AI-08-B</x:v>
      </x:c>
      <x:c r="L64" s="7" t="str">
        <x:v>Specified</x:v>
      </x:c>
      <x:c r="M64" s="10" t="str">
        <x:v>Not implemented</x:v>
      </x:c>
      <x:c r="N64" s="10" t="str">
        <x:v>Not run</x:v>
      </x:c>
    </x:row>
    <x:row r="65" ht="35.25" customHeight="1">
      <x:c r="A65" s="8" t="str">
        <x:v>BR-AI-09</x:v>
      </x:c>
      <x:c r="B65" s="8" t="str">
        <x:v>Multi-provider result history</x:v>
      </x:c>
      <x:c r="C65" s="8" t="str">
        <x:v>Must</x:v>
      </x:c>
      <x:c r="D65" s="8" t="str">
        <x:v>R1</x:v>
      </x:c>
      <x:c r="E65" s="8" t="str">
        <x:v>FR-AI-09</x:v>
      </x:c>
      <x:c r="F65" s="8" t="str">
        <x:v>FSD AI</x:v>
      </x:c>
      <x:c r="G65" s="8" t="str">
        <x:v>SCR06 SCR19 SCR20</x:v>
      </x:c>
      <x:c r="H65" s="8" t="str">
        <x:v>C06 C07</x:v>
      </x:c>
      <x:c r="I65" s="8" t="str">
        <x:v>API015 API016 API017 API018 API048 API049 API050 API051</x:v>
      </x:c>
      <x:c r="J65" s="8" t="str">
        <x:v>WP05</x:v>
      </x:c>
      <x:c r="K65" s="8" t="str">
        <x:v>TC-BR-AI-09-A TC-BR-AI-09-B</x:v>
      </x:c>
      <x:c r="L65" s="8" t="str">
        <x:v>Specified</x:v>
      </x:c>
      <x:c r="M65" s="10" t="str">
        <x:v>Not implemented</x:v>
      </x:c>
      <x:c r="N65" s="10" t="str">
        <x:v>Not run</x:v>
      </x:c>
    </x:row>
    <x:row r="66" ht="35.25" customHeight="1">
      <x:c r="A66" s="7" t="str">
        <x:v>BR-AI-10</x:v>
      </x:c>
      <x:c r="B66" s="7" t="str">
        <x:v>Monitoring and safety suspension</x:v>
      </x:c>
      <x:c r="C66" s="7" t="str">
        <x:v>Must</x:v>
      </x:c>
      <x:c r="D66" s="7" t="str">
        <x:v>R1</x:v>
      </x:c>
      <x:c r="E66" s="7" t="str">
        <x:v>FR-AI-10</x:v>
      </x:c>
      <x:c r="F66" s="7" t="str">
        <x:v>FSD AI</x:v>
      </x:c>
      <x:c r="G66" s="7" t="str">
        <x:v>SCR06 SCR19 SCR20</x:v>
      </x:c>
      <x:c r="H66" s="7" t="str">
        <x:v>C06 C07</x:v>
      </x:c>
      <x:c r="I66" s="7" t="str">
        <x:v>API015 API016 API017 API018 API048 API049 API050 API051</x:v>
      </x:c>
      <x:c r="J66" s="7" t="str">
        <x:v>WP05</x:v>
      </x:c>
      <x:c r="K66" s="7" t="str">
        <x:v>TC-BR-AI-10-A TC-BR-AI-10-B</x:v>
      </x:c>
      <x:c r="L66" s="7" t="str">
        <x:v>Specified</x:v>
      </x:c>
      <x:c r="M66" s="10" t="str">
        <x:v>Not implemented</x:v>
      </x:c>
      <x:c r="N66" s="10" t="str">
        <x:v>Not run</x:v>
      </x:c>
    </x:row>
    <x:row r="67" ht="35.25" customHeight="1">
      <x:c r="A67" s="8" t="str">
        <x:v>BR-AI-11</x:v>
      </x:c>
      <x:c r="B67" s="8" t="str">
        <x:v>Provider self-service in a controlled environment</x:v>
      </x:c>
      <x:c r="C67" s="8" t="str">
        <x:v>Should</x:v>
      </x:c>
      <x:c r="D67" s="8" t="str">
        <x:v>R2</x:v>
      </x:c>
      <x:c r="E67" s="8" t="str">
        <x:v>FR-AI-11</x:v>
      </x:c>
      <x:c r="F67" s="8" t="str">
        <x:v>FSD AI</x:v>
      </x:c>
      <x:c r="G67" s="8" t="str">
        <x:v>SCR06 SCR19 SCR20</x:v>
      </x:c>
      <x:c r="H67" s="8" t="str">
        <x:v>C06 C07</x:v>
      </x:c>
      <x:c r="I67" s="8" t="str">
        <x:v>API015 API016 API017 API018 API048 API049 API050 API051</x:v>
      </x:c>
      <x:c r="J67" s="8" t="str">
        <x:v>WP05</x:v>
      </x:c>
      <x:c r="K67" s="8" t="str">
        <x:v>TC-BR-AI-11-A TC-BR-AI-11-B</x:v>
      </x:c>
      <x:c r="L67" s="8" t="str">
        <x:v>Specified</x:v>
      </x:c>
      <x:c r="M67" s="10" t="str">
        <x:v>Not implemented</x:v>
      </x:c>
      <x:c r="N67" s="10" t="str">
        <x:v>Not run</x:v>
      </x:c>
    </x:row>
    <x:row r="68" ht="35.25" customHeight="1">
      <x:c r="A68" s="7" t="str">
        <x:v>BR-AI-12</x:v>
      </x:c>
      <x:c r="B68" s="7" t="str">
        <x:v>Cost and contractual limits</x:v>
      </x:c>
      <x:c r="C68" s="7" t="str">
        <x:v>Must</x:v>
      </x:c>
      <x:c r="D68" s="7" t="str">
        <x:v>R1</x:v>
      </x:c>
      <x:c r="E68" s="7" t="str">
        <x:v>FR-AI-12</x:v>
      </x:c>
      <x:c r="F68" s="7" t="str">
        <x:v>FSD AI</x:v>
      </x:c>
      <x:c r="G68" s="7" t="str">
        <x:v>SCR06 SCR19 SCR20</x:v>
      </x:c>
      <x:c r="H68" s="7" t="str">
        <x:v>C06 C07</x:v>
      </x:c>
      <x:c r="I68" s="7" t="str">
        <x:v>API015 API016 API017 API018 API048 API049 API050 API051</x:v>
      </x:c>
      <x:c r="J68" s="7" t="str">
        <x:v>WP05</x:v>
      </x:c>
      <x:c r="K68" s="7" t="str">
        <x:v>TC-BR-AI-12-A TC-BR-AI-12-B</x:v>
      </x:c>
      <x:c r="L68" s="7" t="str">
        <x:v>Specified</x:v>
      </x:c>
      <x:c r="M68" s="10" t="str">
        <x:v>Not implemented</x:v>
      </x:c>
      <x:c r="N68" s="10" t="str">
        <x:v>Not run</x:v>
      </x:c>
    </x:row>
    <x:row r="69" ht="30" customHeight="1">
      <x:c r="A69" s="8" t="str">
        <x:v>BR-CLIN-01</x:v>
      </x:c>
      <x:c r="B69" s="8" t="str">
        <x:v>Approved source library</x:v>
      </x:c>
      <x:c r="C69" s="8" t="str">
        <x:v>Must</x:v>
      </x:c>
      <x:c r="D69" s="8" t="str">
        <x:v>R1</x:v>
      </x:c>
      <x:c r="E69" s="8" t="str">
        <x:v>FR-CLIN-01</x:v>
      </x:c>
      <x:c r="F69" s="8" t="str">
        <x:v>FSD CLIN</x:v>
      </x:c>
      <x:c r="G69" s="8" t="str">
        <x:v>SCR05 SCR06 SCR08 SCR21</x:v>
      </x:c>
      <x:c r="H69" s="8" t="str">
        <x:v>C04 C06 C08</x:v>
      </x:c>
      <x:c r="I69" s="8" t="str">
        <x:v>API031 API062 API063</x:v>
      </x:c>
      <x:c r="J69" s="8" t="str">
        <x:v>WP06</x:v>
      </x:c>
      <x:c r="K69" s="8" t="str">
        <x:v>TC-BR-CLIN-01-A TC-BR-CLIN-01-B</x:v>
      </x:c>
      <x:c r="L69" s="8" t="str">
        <x:v>Specified</x:v>
      </x:c>
      <x:c r="M69" s="10" t="str">
        <x:v>Not implemented</x:v>
      </x:c>
      <x:c r="N69" s="10" t="str">
        <x:v>Not run</x:v>
      </x:c>
    </x:row>
    <x:row r="70" ht="30" customHeight="1">
      <x:c r="A70" s="7" t="str">
        <x:v>BR-CLIN-02</x:v>
      </x:c>
      <x:c r="B70" s="7" t="str">
        <x:v>Controlled clinical logic</x:v>
      </x:c>
      <x:c r="C70" s="7" t="str">
        <x:v>Must</x:v>
      </x:c>
      <x:c r="D70" s="7" t="str">
        <x:v>R1</x:v>
      </x:c>
      <x:c r="E70" s="7" t="str">
        <x:v>FR-CLIN-02</x:v>
      </x:c>
      <x:c r="F70" s="7" t="str">
        <x:v>FSD CLIN</x:v>
      </x:c>
      <x:c r="G70" s="7" t="str">
        <x:v>SCR05 SCR06 SCR08 SCR21</x:v>
      </x:c>
      <x:c r="H70" s="7" t="str">
        <x:v>C04 C06 C08</x:v>
      </x:c>
      <x:c r="I70" s="7" t="str">
        <x:v>API031 API062 API063</x:v>
      </x:c>
      <x:c r="J70" s="7" t="str">
        <x:v>WP06</x:v>
      </x:c>
      <x:c r="K70" s="7" t="str">
        <x:v>TC-BR-CLIN-02-A TC-BR-CLIN-02-B</x:v>
      </x:c>
      <x:c r="L70" s="7" t="str">
        <x:v>Specified</x:v>
      </x:c>
      <x:c r="M70" s="10" t="str">
        <x:v>Not implemented</x:v>
      </x:c>
      <x:c r="N70" s="10" t="str">
        <x:v>Not run</x:v>
      </x:c>
    </x:row>
    <x:row r="71" ht="30" customHeight="1">
      <x:c r="A71" s="8" t="str">
        <x:v>BR-CLIN-03</x:v>
      </x:c>
      <x:c r="B71" s="8" t="str">
        <x:v>Escalation without model dependence</x:v>
      </x:c>
      <x:c r="C71" s="8" t="str">
        <x:v>Must</x:v>
      </x:c>
      <x:c r="D71" s="8" t="str">
        <x:v>R1</x:v>
      </x:c>
      <x:c r="E71" s="8" t="str">
        <x:v>FR-CLIN-03</x:v>
      </x:c>
      <x:c r="F71" s="8" t="str">
        <x:v>FSD CLIN</x:v>
      </x:c>
      <x:c r="G71" s="8" t="str">
        <x:v>SCR05 SCR06 SCR08 SCR21</x:v>
      </x:c>
      <x:c r="H71" s="8" t="str">
        <x:v>C04 C06 C08</x:v>
      </x:c>
      <x:c r="I71" s="8" t="str">
        <x:v>API031 API062 API063</x:v>
      </x:c>
      <x:c r="J71" s="8" t="str">
        <x:v>WP06</x:v>
      </x:c>
      <x:c r="K71" s="8" t="str">
        <x:v>TC-BR-CLIN-03-A TC-BR-CLIN-03-B</x:v>
      </x:c>
      <x:c r="L71" s="8" t="str">
        <x:v>Specified</x:v>
      </x:c>
      <x:c r="M71" s="10" t="str">
        <x:v>Not implemented</x:v>
      </x:c>
      <x:c r="N71" s="10" t="str">
        <x:v>Not run</x:v>
      </x:c>
    </x:row>
    <x:row r="72" ht="30" customHeight="1">
      <x:c r="A72" s="7" t="str">
        <x:v>BR-CLIN-04</x:v>
      </x:c>
      <x:c r="B72" s="7" t="str">
        <x:v>Scope of practice</x:v>
      </x:c>
      <x:c r="C72" s="7" t="str">
        <x:v>Must</x:v>
      </x:c>
      <x:c r="D72" s="7" t="str">
        <x:v>R1</x:v>
      </x:c>
      <x:c r="E72" s="7" t="str">
        <x:v>FR-CLIN-04</x:v>
      </x:c>
      <x:c r="F72" s="7" t="str">
        <x:v>FSD CLIN</x:v>
      </x:c>
      <x:c r="G72" s="7" t="str">
        <x:v>SCR05 SCR06 SCR08 SCR21</x:v>
      </x:c>
      <x:c r="H72" s="7" t="str">
        <x:v>C04 C06 C08</x:v>
      </x:c>
      <x:c r="I72" s="7" t="str">
        <x:v>API031 API062 API063</x:v>
      </x:c>
      <x:c r="J72" s="7" t="str">
        <x:v>WP06</x:v>
      </x:c>
      <x:c r="K72" s="7" t="str">
        <x:v>TC-BR-CLIN-04-A TC-BR-CLIN-04-B</x:v>
      </x:c>
      <x:c r="L72" s="7" t="str">
        <x:v>Specified</x:v>
      </x:c>
      <x:c r="M72" s="10" t="str">
        <x:v>Not implemented</x:v>
      </x:c>
      <x:c r="N72" s="10" t="str">
        <x:v>Not run</x:v>
      </x:c>
    </x:row>
    <x:row r="73" ht="30" customHeight="1">
      <x:c r="A73" s="8" t="str">
        <x:v>BR-CLIN-05</x:v>
      </x:c>
      <x:c r="B73" s="8" t="str">
        <x:v>Review and override</x:v>
      </x:c>
      <x:c r="C73" s="8" t="str">
        <x:v>Must</x:v>
      </x:c>
      <x:c r="D73" s="8" t="str">
        <x:v>R1</x:v>
      </x:c>
      <x:c r="E73" s="8" t="str">
        <x:v>FR-CLIN-05</x:v>
      </x:c>
      <x:c r="F73" s="8" t="str">
        <x:v>FSD CLIN</x:v>
      </x:c>
      <x:c r="G73" s="8" t="str">
        <x:v>SCR05 SCR06 SCR08 SCR21</x:v>
      </x:c>
      <x:c r="H73" s="8" t="str">
        <x:v>C04 C06 C08</x:v>
      </x:c>
      <x:c r="I73" s="8" t="str">
        <x:v>API031 API062 API063</x:v>
      </x:c>
      <x:c r="J73" s="8" t="str">
        <x:v>WP06</x:v>
      </x:c>
      <x:c r="K73" s="8" t="str">
        <x:v>TC-BR-CLIN-05-A TC-BR-CLIN-05-B</x:v>
      </x:c>
      <x:c r="L73" s="8" t="str">
        <x:v>Specified</x:v>
      </x:c>
      <x:c r="M73" s="10" t="str">
        <x:v>Not implemented</x:v>
      </x:c>
      <x:c r="N73" s="10" t="str">
        <x:v>Not run</x:v>
      </x:c>
    </x:row>
    <x:row r="74" ht="30" customHeight="1">
      <x:c r="A74" s="7" t="str">
        <x:v>BR-CLIN-06</x:v>
      </x:c>
      <x:c r="B74" s="7" t="str">
        <x:v>Model-specific quality requirements</x:v>
      </x:c>
      <x:c r="C74" s="7" t="str">
        <x:v>Must</x:v>
      </x:c>
      <x:c r="D74" s="7" t="str">
        <x:v>R1</x:v>
      </x:c>
      <x:c r="E74" s="7" t="str">
        <x:v>FR-CLIN-06</x:v>
      </x:c>
      <x:c r="F74" s="7" t="str">
        <x:v>FSD CLIN</x:v>
      </x:c>
      <x:c r="G74" s="7" t="str">
        <x:v>SCR05 SCR06 SCR08 SCR21</x:v>
      </x:c>
      <x:c r="H74" s="7" t="str">
        <x:v>C04 C06 C08</x:v>
      </x:c>
      <x:c r="I74" s="7" t="str">
        <x:v>API031 API062 API063</x:v>
      </x:c>
      <x:c r="J74" s="7" t="str">
        <x:v>WP06</x:v>
      </x:c>
      <x:c r="K74" s="7" t="str">
        <x:v>TC-BR-CLIN-06-A TC-BR-CLIN-06-B</x:v>
      </x:c>
      <x:c r="L74" s="7" t="str">
        <x:v>Specified</x:v>
      </x:c>
      <x:c r="M74" s="10" t="str">
        <x:v>Not implemented</x:v>
      </x:c>
      <x:c r="N74" s="10" t="str">
        <x:v>Not run</x:v>
      </x:c>
    </x:row>
    <x:row r="75" ht="30" customHeight="1">
      <x:c r="A75" s="8" t="str">
        <x:v>BR-CLIN-07</x:v>
      </x:c>
      <x:c r="B75" s="8" t="str">
        <x:v>Composition safety</x:v>
      </x:c>
      <x:c r="C75" s="8" t="str">
        <x:v>Must</x:v>
      </x:c>
      <x:c r="D75" s="8" t="str">
        <x:v>R1</x:v>
      </x:c>
      <x:c r="E75" s="8" t="str">
        <x:v>FR-CLIN-07</x:v>
      </x:c>
      <x:c r="F75" s="8" t="str">
        <x:v>FSD CLIN</x:v>
      </x:c>
      <x:c r="G75" s="8" t="str">
        <x:v>SCR05 SCR06 SCR08 SCR21</x:v>
      </x:c>
      <x:c r="H75" s="8" t="str">
        <x:v>C04 C06 C08</x:v>
      </x:c>
      <x:c r="I75" s="8" t="str">
        <x:v>API031 API062 API063</x:v>
      </x:c>
      <x:c r="J75" s="8" t="str">
        <x:v>WP06</x:v>
      </x:c>
      <x:c r="K75" s="8" t="str">
        <x:v>TC-BR-CLIN-07-A TC-BR-CLIN-07-B</x:v>
      </x:c>
      <x:c r="L75" s="8" t="str">
        <x:v>Specified</x:v>
      </x:c>
      <x:c r="M75" s="10" t="str">
        <x:v>Not implemented</x:v>
      </x:c>
      <x:c r="N75" s="10" t="str">
        <x:v>Not run</x:v>
      </x:c>
    </x:row>
    <x:row r="76" ht="30" customHeight="1">
      <x:c r="A76" s="7" t="str">
        <x:v>BR-CLIN-08</x:v>
      </x:c>
      <x:c r="B76" s="7" t="str">
        <x:v>Harm reporting and review</x:v>
      </x:c>
      <x:c r="C76" s="7" t="str">
        <x:v>Must</x:v>
      </x:c>
      <x:c r="D76" s="7" t="str">
        <x:v>R1</x:v>
      </x:c>
      <x:c r="E76" s="7" t="str">
        <x:v>FR-CLIN-08</x:v>
      </x:c>
      <x:c r="F76" s="7" t="str">
        <x:v>FSD CLIN</x:v>
      </x:c>
      <x:c r="G76" s="7" t="str">
        <x:v>SCR05 SCR06 SCR08 SCR21</x:v>
      </x:c>
      <x:c r="H76" s="7" t="str">
        <x:v>C04 C06 C08</x:v>
      </x:c>
      <x:c r="I76" s="7" t="str">
        <x:v>API031 API062 API063</x:v>
      </x:c>
      <x:c r="J76" s="7" t="str">
        <x:v>WP06</x:v>
      </x:c>
      <x:c r="K76" s="7" t="str">
        <x:v>TC-BR-CLIN-08-A TC-BR-CLIN-08-B</x:v>
      </x:c>
      <x:c r="L76" s="7" t="str">
        <x:v>Specified</x:v>
      </x:c>
      <x:c r="M76" s="10" t="str">
        <x:v>Not implemented</x:v>
      </x:c>
      <x:c r="N76" s="10" t="str">
        <x:v>Not run</x:v>
      </x:c>
    </x:row>
    <x:row r="77" ht="35.25" customHeight="1">
      <x:c r="A77" s="8" t="str">
        <x:v>BR-INT-01</x:v>
      </x:c>
      <x:c r="B77" s="8" t="str">
        <x:v>Integration readiness contract</x:v>
      </x:c>
      <x:c r="C77" s="8" t="str">
        <x:v>Must</x:v>
      </x:c>
      <x:c r="D77" s="8" t="str">
        <x:v>R1</x:v>
      </x:c>
      <x:c r="E77" s="8" t="str">
        <x:v>FR-INT-01</x:v>
      </x:c>
      <x:c r="F77" s="8" t="str">
        <x:v>FSD INT</x:v>
      </x:c>
      <x:c r="G77" s="8" t="str">
        <x:v>SCR07 SCR10 SCR11 SCR14 SCR20</x:v>
      </x:c>
      <x:c r="H77" s="8" t="str">
        <x:v>C07 C09</x:v>
      </x:c>
      <x:c r="I77" s="8" t="str">
        <x:v>API019 API020 API021 API026 API052 API053 API054 API055 API060 API061</x:v>
      </x:c>
      <x:c r="J77" s="8" t="str">
        <x:v>WP07</x:v>
      </x:c>
      <x:c r="K77" s="8" t="str">
        <x:v>TC-BR-INT-01-A TC-BR-INT-01-B</x:v>
      </x:c>
      <x:c r="L77" s="8" t="str">
        <x:v>Specified</x:v>
      </x:c>
      <x:c r="M77" s="10" t="str">
        <x:v>Not implemented</x:v>
      </x:c>
      <x:c r="N77" s="10" t="str">
        <x:v>Not run</x:v>
      </x:c>
    </x:row>
    <x:row r="78" ht="35.25" customHeight="1">
      <x:c r="A78" s="7" t="str">
        <x:v>BR-INT-02</x:v>
      </x:c>
      <x:c r="B78" s="7" t="str">
        <x:v>Independent read and write permissions</x:v>
      </x:c>
      <x:c r="C78" s="7" t="str">
        <x:v>Must</x:v>
      </x:c>
      <x:c r="D78" s="7" t="str">
        <x:v>R1</x:v>
      </x:c>
      <x:c r="E78" s="7" t="str">
        <x:v>FR-INT-02</x:v>
      </x:c>
      <x:c r="F78" s="7" t="str">
        <x:v>FSD INT</x:v>
      </x:c>
      <x:c r="G78" s="7" t="str">
        <x:v>SCR07 SCR10 SCR11 SCR14 SCR20</x:v>
      </x:c>
      <x:c r="H78" s="7" t="str">
        <x:v>C07 C09</x:v>
      </x:c>
      <x:c r="I78" s="7" t="str">
        <x:v>API019 API020 API021 API026 API052 API053 API054 API055 API060 API061</x:v>
      </x:c>
      <x:c r="J78" s="7" t="str">
        <x:v>WP07</x:v>
      </x:c>
      <x:c r="K78" s="7" t="str">
        <x:v>TC-BR-INT-02-A TC-BR-INT-02-B</x:v>
      </x:c>
      <x:c r="L78" s="7" t="str">
        <x:v>Specified</x:v>
      </x:c>
      <x:c r="M78" s="10" t="str">
        <x:v>Not implemented</x:v>
      </x:c>
      <x:c r="N78" s="10" t="str">
        <x:v>Not run</x:v>
      </x:c>
    </x:row>
    <x:row r="79" ht="35.25" customHeight="1">
      <x:c r="A79" s="8" t="str">
        <x:v>BR-INT-03</x:v>
      </x:c>
      <x:c r="B79" s="8" t="str">
        <x:v>Confirmed submission receipts</x:v>
      </x:c>
      <x:c r="C79" s="8" t="str">
        <x:v>Must</x:v>
      </x:c>
      <x:c r="D79" s="8" t="str">
        <x:v>R1</x:v>
      </x:c>
      <x:c r="E79" s="8" t="str">
        <x:v>FR-INT-03</x:v>
      </x:c>
      <x:c r="F79" s="8" t="str">
        <x:v>FSD INT</x:v>
      </x:c>
      <x:c r="G79" s="8" t="str">
        <x:v>SCR07 SCR10 SCR11 SCR14 SCR20</x:v>
      </x:c>
      <x:c r="H79" s="8" t="str">
        <x:v>C07 C09</x:v>
      </x:c>
      <x:c r="I79" s="8" t="str">
        <x:v>API019 API020 API021 API026 API052 API053 API054 API055 API060 API061</x:v>
      </x:c>
      <x:c r="J79" s="8" t="str">
        <x:v>WP07</x:v>
      </x:c>
      <x:c r="K79" s="8" t="str">
        <x:v>TC-BR-INT-03-A TC-BR-INT-03-B</x:v>
      </x:c>
      <x:c r="L79" s="8" t="str">
        <x:v>Specified</x:v>
      </x:c>
      <x:c r="M79" s="10" t="str">
        <x:v>Not implemented</x:v>
      </x:c>
      <x:c r="N79" s="10" t="str">
        <x:v>Not run</x:v>
      </x:c>
    </x:row>
    <x:row r="80" ht="35.25" customHeight="1">
      <x:c r="A80" s="7" t="str">
        <x:v>BR-INT-04</x:v>
      </x:c>
      <x:c r="B80" s="7" t="str">
        <x:v>Duplicate prevention and uncertain outcomes</x:v>
      </x:c>
      <x:c r="C80" s="7" t="str">
        <x:v>Must</x:v>
      </x:c>
      <x:c r="D80" s="7" t="str">
        <x:v>R1</x:v>
      </x:c>
      <x:c r="E80" s="7" t="str">
        <x:v>FR-INT-04</x:v>
      </x:c>
      <x:c r="F80" s="7" t="str">
        <x:v>FSD INT</x:v>
      </x:c>
      <x:c r="G80" s="7" t="str">
        <x:v>SCR07 SCR10 SCR11 SCR14 SCR20</x:v>
      </x:c>
      <x:c r="H80" s="7" t="str">
        <x:v>C07 C09</x:v>
      </x:c>
      <x:c r="I80" s="7" t="str">
        <x:v>API019 API020 API021 API026 API052 API053 API054 API055 API060 API061</x:v>
      </x:c>
      <x:c r="J80" s="7" t="str">
        <x:v>WP07</x:v>
      </x:c>
      <x:c r="K80" s="7" t="str">
        <x:v>TC-BR-INT-04-A TC-BR-INT-04-B</x:v>
      </x:c>
      <x:c r="L80" s="7" t="str">
        <x:v>Specified</x:v>
      </x:c>
      <x:c r="M80" s="10" t="str">
        <x:v>Not implemented</x:v>
      </x:c>
      <x:c r="N80" s="10" t="str">
        <x:v>Not run</x:v>
      </x:c>
    </x:row>
    <x:row r="81" ht="35.25" customHeight="1">
      <x:c r="A81" s="8" t="str">
        <x:v>BR-INT-05</x:v>
      </x:c>
      <x:c r="B81" s="8" t="str">
        <x:v>Partial completion across systems</x:v>
      </x:c>
      <x:c r="C81" s="8" t="str">
        <x:v>Must</x:v>
      </x:c>
      <x:c r="D81" s="8" t="str">
        <x:v>R1</x:v>
      </x:c>
      <x:c r="E81" s="8" t="str">
        <x:v>FR-INT-05</x:v>
      </x:c>
      <x:c r="F81" s="8" t="str">
        <x:v>FSD INT</x:v>
      </x:c>
      <x:c r="G81" s="8" t="str">
        <x:v>SCR07 SCR10 SCR11 SCR14 SCR20</x:v>
      </x:c>
      <x:c r="H81" s="8" t="str">
        <x:v>C07 C09</x:v>
      </x:c>
      <x:c r="I81" s="8" t="str">
        <x:v>API019 API020 API021 API026 API052 API053 API054 API055 API060 API061</x:v>
      </x:c>
      <x:c r="J81" s="8" t="str">
        <x:v>WP07</x:v>
      </x:c>
      <x:c r="K81" s="8" t="str">
        <x:v>TC-BR-INT-05-A TC-BR-INT-05-B</x:v>
      </x:c>
      <x:c r="L81" s="8" t="str">
        <x:v>Specified</x:v>
      </x:c>
      <x:c r="M81" s="10" t="str">
        <x:v>Not implemented</x:v>
      </x:c>
      <x:c r="N81" s="10" t="str">
        <x:v>Not run</x:v>
      </x:c>
    </x:row>
    <x:row r="82" ht="35.25" customHeight="1">
      <x:c r="A82" s="7" t="str">
        <x:v>BR-INT-06</x:v>
      </x:c>
      <x:c r="B82" s="7" t="str">
        <x:v>Inbound changes and reconciliation</x:v>
      </x:c>
      <x:c r="C82" s="7" t="str">
        <x:v>Must</x:v>
      </x:c>
      <x:c r="D82" s="7" t="str">
        <x:v>R1</x:v>
      </x:c>
      <x:c r="E82" s="7" t="str">
        <x:v>FR-INT-06</x:v>
      </x:c>
      <x:c r="F82" s="7" t="str">
        <x:v>FSD INT</x:v>
      </x:c>
      <x:c r="G82" s="7" t="str">
        <x:v>SCR07 SCR10 SCR11 SCR14 SCR20</x:v>
      </x:c>
      <x:c r="H82" s="7" t="str">
        <x:v>C07 C09</x:v>
      </x:c>
      <x:c r="I82" s="7" t="str">
        <x:v>API019 API020 API021 API026 API052 API053 API054 API055 API060 API061</x:v>
      </x:c>
      <x:c r="J82" s="7" t="str">
        <x:v>WP07</x:v>
      </x:c>
      <x:c r="K82" s="7" t="str">
        <x:v>TC-BR-INT-06-A TC-BR-INT-06-B</x:v>
      </x:c>
      <x:c r="L82" s="7" t="str">
        <x:v>Specified</x:v>
      </x:c>
      <x:c r="M82" s="10" t="str">
        <x:v>Not implemented</x:v>
      </x:c>
      <x:c r="N82" s="10" t="str">
        <x:v>Not run</x:v>
      </x:c>
    </x:row>
    <x:row r="83" ht="35.25" customHeight="1">
      <x:c r="A83" s="8" t="str">
        <x:v>BR-INT-07</x:v>
      </x:c>
      <x:c r="B83" s="8" t="str">
        <x:v>Schema and mapping change control</x:v>
      </x:c>
      <x:c r="C83" s="8" t="str">
        <x:v>Must</x:v>
      </x:c>
      <x:c r="D83" s="8" t="str">
        <x:v>R1</x:v>
      </x:c>
      <x:c r="E83" s="8" t="str">
        <x:v>FR-INT-07</x:v>
      </x:c>
      <x:c r="F83" s="8" t="str">
        <x:v>FSD INT</x:v>
      </x:c>
      <x:c r="G83" s="8" t="str">
        <x:v>SCR07 SCR10 SCR11 SCR14 SCR20</x:v>
      </x:c>
      <x:c r="H83" s="8" t="str">
        <x:v>C07 C09</x:v>
      </x:c>
      <x:c r="I83" s="8" t="str">
        <x:v>API019 API020 API021 API026 API052 API053 API054 API055 API060 API061</x:v>
      </x:c>
      <x:c r="J83" s="8" t="str">
        <x:v>WP07</x:v>
      </x:c>
      <x:c r="K83" s="8" t="str">
        <x:v>TC-BR-INT-07-A TC-BR-INT-07-B</x:v>
      </x:c>
      <x:c r="L83" s="8" t="str">
        <x:v>Specified</x:v>
      </x:c>
      <x:c r="M83" s="10" t="str">
        <x:v>Not implemented</x:v>
      </x:c>
      <x:c r="N83" s="10" t="str">
        <x:v>Not run</x:v>
      </x:c>
    </x:row>
    <x:row r="84" ht="35.25" customHeight="1">
      <x:c r="A84" s="7" t="str">
        <x:v>BR-INT-08</x:v>
      </x:c>
      <x:c r="B84" s="7" t="str">
        <x:v>Limited integration alternatives</x:v>
      </x:c>
      <x:c r="C84" s="7" t="str">
        <x:v>Must</x:v>
      </x:c>
      <x:c r="D84" s="7" t="str">
        <x:v>R1</x:v>
      </x:c>
      <x:c r="E84" s="7" t="str">
        <x:v>FR-INT-08</x:v>
      </x:c>
      <x:c r="F84" s="7" t="str">
        <x:v>FSD INT</x:v>
      </x:c>
      <x:c r="G84" s="7" t="str">
        <x:v>SCR07 SCR10 SCR11 SCR14 SCR20</x:v>
      </x:c>
      <x:c r="H84" s="7" t="str">
        <x:v>C07 C09</x:v>
      </x:c>
      <x:c r="I84" s="7" t="str">
        <x:v>API019 API020 API021 API026 API052 API053 API054 API055 API060 API061</x:v>
      </x:c>
      <x:c r="J84" s="7" t="str">
        <x:v>WP07</x:v>
      </x:c>
      <x:c r="K84" s="7" t="str">
        <x:v>TC-BR-INT-08-A TC-BR-INT-08-B</x:v>
      </x:c>
      <x:c r="L84" s="7" t="str">
        <x:v>Specified</x:v>
      </x:c>
      <x:c r="M84" s="10" t="str">
        <x:v>Not implemented</x:v>
      </x:c>
      <x:c r="N84" s="10" t="str">
        <x:v>Not run</x:v>
      </x:c>
    </x:row>
    <x:row r="85" ht="35.25" customHeight="1">
      <x:c r="A85" s="8" t="str">
        <x:v>BR-INT-09</x:v>
      </x:c>
      <x:c r="B85" s="8" t="str">
        <x:v>Per-destination data minimisation</x:v>
      </x:c>
      <x:c r="C85" s="8" t="str">
        <x:v>Must</x:v>
      </x:c>
      <x:c r="D85" s="8" t="str">
        <x:v>R1</x:v>
      </x:c>
      <x:c r="E85" s="8" t="str">
        <x:v>FR-INT-09</x:v>
      </x:c>
      <x:c r="F85" s="8" t="str">
        <x:v>FSD INT</x:v>
      </x:c>
      <x:c r="G85" s="8" t="str">
        <x:v>SCR07 SCR10 SCR11 SCR14 SCR20</x:v>
      </x:c>
      <x:c r="H85" s="8" t="str">
        <x:v>C07 C09</x:v>
      </x:c>
      <x:c r="I85" s="8" t="str">
        <x:v>API019 API020 API021 API026 API052 API053 API054 API055 API060 API061</x:v>
      </x:c>
      <x:c r="J85" s="8" t="str">
        <x:v>WP07</x:v>
      </x:c>
      <x:c r="K85" s="8" t="str">
        <x:v>TC-BR-INT-09-A TC-BR-INT-09-B</x:v>
      </x:c>
      <x:c r="L85" s="8" t="str">
        <x:v>Specified</x:v>
      </x:c>
      <x:c r="M85" s="10" t="str">
        <x:v>Not implemented</x:v>
      </x:c>
      <x:c r="N85" s="10" t="str">
        <x:v>Not run</x:v>
      </x:c>
    </x:row>
    <x:row r="86" ht="35.25" customHeight="1">
      <x:c r="A86" s="7" t="str">
        <x:v>BR-INT-10</x:v>
      </x:c>
      <x:c r="B86" s="7" t="str">
        <x:v>Standards-based exchange</x:v>
      </x:c>
      <x:c r="C86" s="7" t="str">
        <x:v>Must</x:v>
      </x:c>
      <x:c r="D86" s="7" t="str">
        <x:v>R1</x:v>
      </x:c>
      <x:c r="E86" s="7" t="str">
        <x:v>FR-INT-10</x:v>
      </x:c>
      <x:c r="F86" s="7" t="str">
        <x:v>FSD INT</x:v>
      </x:c>
      <x:c r="G86" s="7" t="str">
        <x:v>SCR07 SCR10 SCR11 SCR14 SCR20</x:v>
      </x:c>
      <x:c r="H86" s="7" t="str">
        <x:v>C07 C09</x:v>
      </x:c>
      <x:c r="I86" s="7" t="str">
        <x:v>API019 API020 API021 API026 API052 API053 API054 API055 API060 API061</x:v>
      </x:c>
      <x:c r="J86" s="7" t="str">
        <x:v>WP07</x:v>
      </x:c>
      <x:c r="K86" s="7" t="str">
        <x:v>TC-BR-INT-10-A TC-BR-INT-10-B</x:v>
      </x:c>
      <x:c r="L86" s="7" t="str">
        <x:v>Specified</x:v>
      </x:c>
      <x:c r="M86" s="10" t="str">
        <x:v>Not implemented</x:v>
      </x:c>
      <x:c r="N86" s="10" t="str">
        <x:v>Not run</x:v>
      </x:c>
    </x:row>
    <x:row r="87" ht="35.25" customHeight="1">
      <x:c r="A87" s="8" t="str">
        <x:v>BR-INT-11</x:v>
      </x:c>
      <x:c r="B87" s="8" t="str">
        <x:v>Canonical exchange representation</x:v>
      </x:c>
      <x:c r="C87" s="8" t="str">
        <x:v>Must</x:v>
      </x:c>
      <x:c r="D87" s="8" t="str">
        <x:v>R1</x:v>
      </x:c>
      <x:c r="E87" s="8" t="str">
        <x:v>FR-INT-11</x:v>
      </x:c>
      <x:c r="F87" s="8" t="str">
        <x:v>FSD INT</x:v>
      </x:c>
      <x:c r="G87" s="8" t="str">
        <x:v>SCR07 SCR10 SCR11 SCR14 SCR20</x:v>
      </x:c>
      <x:c r="H87" s="8" t="str">
        <x:v>C07 C09</x:v>
      </x:c>
      <x:c r="I87" s="8" t="str">
        <x:v>API019 API020 API021 API026 API052 API053 API054 API055 API060 API061</x:v>
      </x:c>
      <x:c r="J87" s="8" t="str">
        <x:v>WP07</x:v>
      </x:c>
      <x:c r="K87" s="8" t="str">
        <x:v>TC-BR-INT-11-A TC-BR-INT-11-B</x:v>
      </x:c>
      <x:c r="L87" s="8" t="str">
        <x:v>Specified</x:v>
      </x:c>
      <x:c r="M87" s="10" t="str">
        <x:v>Not implemented</x:v>
      </x:c>
      <x:c r="N87" s="10" t="str">
        <x:v>Not run</x:v>
      </x:c>
    </x:row>
    <x:row r="88" ht="35.25" customHeight="1">
      <x:c r="A88" s="7" t="str">
        <x:v>BR-INT-12</x:v>
      </x:c>
      <x:c r="B88" s="7" t="str">
        <x:v>Source and destination provenance</x:v>
      </x:c>
      <x:c r="C88" s="7" t="str">
        <x:v>Must</x:v>
      </x:c>
      <x:c r="D88" s="7" t="str">
        <x:v>R1</x:v>
      </x:c>
      <x:c r="E88" s="7" t="str">
        <x:v>FR-INT-12</x:v>
      </x:c>
      <x:c r="F88" s="7" t="str">
        <x:v>FSD INT</x:v>
      </x:c>
      <x:c r="G88" s="7" t="str">
        <x:v>SCR07 SCR10 SCR11 SCR14 SCR20</x:v>
      </x:c>
      <x:c r="H88" s="7" t="str">
        <x:v>C07 C09</x:v>
      </x:c>
      <x:c r="I88" s="7" t="str">
        <x:v>API019 API020 API021 API026 API052 API053 API054 API055 API060 API061</x:v>
      </x:c>
      <x:c r="J88" s="7" t="str">
        <x:v>WP07</x:v>
      </x:c>
      <x:c r="K88" s="7" t="str">
        <x:v>TC-BR-INT-12-A TC-BR-INT-12-B</x:v>
      </x:c>
      <x:c r="L88" s="7" t="str">
        <x:v>Specified</x:v>
      </x:c>
      <x:c r="M88" s="10" t="str">
        <x:v>Not implemented</x:v>
      </x:c>
      <x:c r="N88" s="10" t="str">
        <x:v>Not run</x:v>
      </x:c>
    </x:row>
    <x:row r="89" ht="35.25" customHeight="1">
      <x:c r="A89" s="8" t="str">
        <x:v>BR-INT-13</x:v>
      </x:c>
      <x:c r="B89" s="8" t="str">
        <x:v>ABDM participation scope</x:v>
      </x:c>
      <x:c r="C89" s="8" t="str">
        <x:v>Must</x:v>
      </x:c>
      <x:c r="D89" s="8" t="str">
        <x:v>R1</x:v>
      </x:c>
      <x:c r="E89" s="8" t="str">
        <x:v>FR-INT-13</x:v>
      </x:c>
      <x:c r="F89" s="8" t="str">
        <x:v>FSD INT</x:v>
      </x:c>
      <x:c r="G89" s="8" t="str">
        <x:v>SCR07 SCR10 SCR11 SCR14 SCR20</x:v>
      </x:c>
      <x:c r="H89" s="8" t="str">
        <x:v>C07 C09</x:v>
      </x:c>
      <x:c r="I89" s="8" t="str">
        <x:v>API019 API020 API021 API026 API052 API053 API054 API055 API060 API061</x:v>
      </x:c>
      <x:c r="J89" s="8" t="str">
        <x:v>WP07</x:v>
      </x:c>
      <x:c r="K89" s="8" t="str">
        <x:v>TC-BR-INT-13-A TC-BR-INT-13-B</x:v>
      </x:c>
      <x:c r="L89" s="8" t="str">
        <x:v>Specified</x:v>
      </x:c>
      <x:c r="M89" s="10" t="str">
        <x:v>Not implemented</x:v>
      </x:c>
      <x:c r="N89" s="10" t="str">
        <x:v>Not run</x:v>
      </x:c>
    </x:row>
    <x:row r="90" ht="35.25" customHeight="1">
      <x:c r="A90" s="7" t="str">
        <x:v>BR-INT-14</x:v>
      </x:c>
      <x:c r="B90" s="7" t="str">
        <x:v>ABHA identity and record linking</x:v>
      </x:c>
      <x:c r="C90" s="7" t="str">
        <x:v>Must</x:v>
      </x:c>
      <x:c r="D90" s="7" t="str">
        <x:v>R1</x:v>
      </x:c>
      <x:c r="E90" s="7" t="str">
        <x:v>FR-INT-14</x:v>
      </x:c>
      <x:c r="F90" s="7" t="str">
        <x:v>FSD INT</x:v>
      </x:c>
      <x:c r="G90" s="7" t="str">
        <x:v>SCR07 SCR10 SCR11 SCR14 SCR20</x:v>
      </x:c>
      <x:c r="H90" s="7" t="str">
        <x:v>C07 C09</x:v>
      </x:c>
      <x:c r="I90" s="7" t="str">
        <x:v>API019 API020 API021 API026 API052 API053 API054 API055 API060 API061</x:v>
      </x:c>
      <x:c r="J90" s="7" t="str">
        <x:v>WP07</x:v>
      </x:c>
      <x:c r="K90" s="7" t="str">
        <x:v>TC-BR-INT-14-A TC-BR-INT-14-B</x:v>
      </x:c>
      <x:c r="L90" s="7" t="str">
        <x:v>Specified</x:v>
      </x:c>
      <x:c r="M90" s="10" t="str">
        <x:v>Not implemented</x:v>
      </x:c>
      <x:c r="N90" s="10" t="str">
        <x:v>Not run</x:v>
      </x:c>
    </x:row>
    <x:row r="91" ht="35.25" customHeight="1">
      <x:c r="A91" s="8" t="str">
        <x:v>BR-INT-15</x:v>
      </x:c>
      <x:c r="B91" s="8" t="str">
        <x:v>ABDM consent enforcement</x:v>
      </x:c>
      <x:c r="C91" s="8" t="str">
        <x:v>Must</x:v>
      </x:c>
      <x:c r="D91" s="8" t="str">
        <x:v>R1</x:v>
      </x:c>
      <x:c r="E91" s="8" t="str">
        <x:v>FR-INT-15</x:v>
      </x:c>
      <x:c r="F91" s="8" t="str">
        <x:v>FSD INT</x:v>
      </x:c>
      <x:c r="G91" s="8" t="str">
        <x:v>SCR07 SCR10 SCR11 SCR14 SCR20</x:v>
      </x:c>
      <x:c r="H91" s="8" t="str">
        <x:v>C07 C09</x:v>
      </x:c>
      <x:c r="I91" s="8" t="str">
        <x:v>API019 API020 API021 API026 API052 API053 API054 API055 API060 API061</x:v>
      </x:c>
      <x:c r="J91" s="8" t="str">
        <x:v>WP07</x:v>
      </x:c>
      <x:c r="K91" s="8" t="str">
        <x:v>TC-BR-INT-15-A TC-BR-INT-15-B</x:v>
      </x:c>
      <x:c r="L91" s="8" t="str">
        <x:v>Specified</x:v>
      </x:c>
      <x:c r="M91" s="10" t="str">
        <x:v>Not implemented</x:v>
      </x:c>
      <x:c r="N91" s="10" t="str">
        <x:v>Not run</x:v>
      </x:c>
    </x:row>
    <x:row r="92" ht="35.25" customHeight="1">
      <x:c r="A92" s="7" t="str">
        <x:v>BR-INT-16</x:v>
      </x:c>
      <x:c r="B92" s="7" t="str">
        <x:v>Facility and professional attribution</x:v>
      </x:c>
      <x:c r="C92" s="7" t="str">
        <x:v>Must</x:v>
      </x:c>
      <x:c r="D92" s="7" t="str">
        <x:v>R1</x:v>
      </x:c>
      <x:c r="E92" s="7" t="str">
        <x:v>FR-INT-16</x:v>
      </x:c>
      <x:c r="F92" s="7" t="str">
        <x:v>FSD INT</x:v>
      </x:c>
      <x:c r="G92" s="7" t="str">
        <x:v>SCR07 SCR10 SCR11 SCR14 SCR20</x:v>
      </x:c>
      <x:c r="H92" s="7" t="str">
        <x:v>C07 C09</x:v>
      </x:c>
      <x:c r="I92" s="7" t="str">
        <x:v>API019 API020 API021 API026 API052 API053 API054 API055 API060 API061</x:v>
      </x:c>
      <x:c r="J92" s="7" t="str">
        <x:v>WP07</x:v>
      </x:c>
      <x:c r="K92" s="7" t="str">
        <x:v>TC-BR-INT-16-A TC-BR-INT-16-B</x:v>
      </x:c>
      <x:c r="L92" s="7" t="str">
        <x:v>Specified</x:v>
      </x:c>
      <x:c r="M92" s="10" t="str">
        <x:v>Not implemented</x:v>
      </x:c>
      <x:c r="N92" s="10" t="str">
        <x:v>Not run</x:v>
      </x:c>
    </x:row>
    <x:row r="93" ht="35.25" customHeight="1">
      <x:c r="A93" s="8" t="str">
        <x:v>BR-INT-17</x:v>
      </x:c>
      <x:c r="B93" s="8" t="str">
        <x:v>ABDM FHIR conformance and version control</x:v>
      </x:c>
      <x:c r="C93" s="8" t="str">
        <x:v>Must</x:v>
      </x:c>
      <x:c r="D93" s="8" t="str">
        <x:v>R1</x:v>
      </x:c>
      <x:c r="E93" s="8" t="str">
        <x:v>FR-INT-17</x:v>
      </x:c>
      <x:c r="F93" s="8" t="str">
        <x:v>FSD INT</x:v>
      </x:c>
      <x:c r="G93" s="8" t="str">
        <x:v>SCR07 SCR10 SCR11 SCR14 SCR20</x:v>
      </x:c>
      <x:c r="H93" s="8" t="str">
        <x:v>C07 C09</x:v>
      </x:c>
      <x:c r="I93" s="8" t="str">
        <x:v>API019 API020 API021 API026 API052 API053 API054 API055 API060 API061</x:v>
      </x:c>
      <x:c r="J93" s="8" t="str">
        <x:v>WP07</x:v>
      </x:c>
      <x:c r="K93" s="8" t="str">
        <x:v>TC-BR-INT-17-A TC-BR-INT-17-B</x:v>
      </x:c>
      <x:c r="L93" s="8" t="str">
        <x:v>Specified</x:v>
      </x:c>
      <x:c r="M93" s="10" t="str">
        <x:v>Not implemented</x:v>
      </x:c>
      <x:c r="N93" s="10" t="str">
        <x:v>Not run</x:v>
      </x:c>
    </x:row>
    <x:row r="94" ht="35.25" customHeight="1">
      <x:c r="A94" s="7" t="str">
        <x:v>BR-INT-18</x:v>
      </x:c>
      <x:c r="B94" s="7" t="str">
        <x:v>Health Information Provider operation</x:v>
      </x:c>
      <x:c r="C94" s="7" t="str">
        <x:v>Must</x:v>
      </x:c>
      <x:c r="D94" s="7" t="str">
        <x:v>R1</x:v>
      </x:c>
      <x:c r="E94" s="7" t="str">
        <x:v>FR-INT-18</x:v>
      </x:c>
      <x:c r="F94" s="7" t="str">
        <x:v>FSD INT</x:v>
      </x:c>
      <x:c r="G94" s="7" t="str">
        <x:v>SCR07 SCR10 SCR11 SCR14 SCR20</x:v>
      </x:c>
      <x:c r="H94" s="7" t="str">
        <x:v>C07 C09</x:v>
      </x:c>
      <x:c r="I94" s="7" t="str">
        <x:v>API019 API020 API021 API026 API052 API053 API054 API055 API060 API061</x:v>
      </x:c>
      <x:c r="J94" s="7" t="str">
        <x:v>WP07</x:v>
      </x:c>
      <x:c r="K94" s="7" t="str">
        <x:v>TC-BR-INT-18-A TC-BR-INT-18-B</x:v>
      </x:c>
      <x:c r="L94" s="7" t="str">
        <x:v>Specified</x:v>
      </x:c>
      <x:c r="M94" s="10" t="str">
        <x:v>Not implemented</x:v>
      </x:c>
      <x:c r="N94" s="10" t="str">
        <x:v>Not run</x:v>
      </x:c>
    </x:row>
    <x:row r="95" ht="35.25" customHeight="1">
      <x:c r="A95" s="8" t="str">
        <x:v>BR-INT-19</x:v>
      </x:c>
      <x:c r="B95" s="8" t="str">
        <x:v>Health Information User operation</x:v>
      </x:c>
      <x:c r="C95" s="8" t="str">
        <x:v>Must</x:v>
      </x:c>
      <x:c r="D95" s="8" t="str">
        <x:v>R1</x:v>
      </x:c>
      <x:c r="E95" s="8" t="str">
        <x:v>FR-INT-19</x:v>
      </x:c>
      <x:c r="F95" s="8" t="str">
        <x:v>FSD INT</x:v>
      </x:c>
      <x:c r="G95" s="8" t="str">
        <x:v>SCR07 SCR10 SCR11 SCR14 SCR20</x:v>
      </x:c>
      <x:c r="H95" s="8" t="str">
        <x:v>C07 C09</x:v>
      </x:c>
      <x:c r="I95" s="8" t="str">
        <x:v>API019 API020 API021 API026 API052 API053 API054 API055 API060 API061</x:v>
      </x:c>
      <x:c r="J95" s="8" t="str">
        <x:v>WP07</x:v>
      </x:c>
      <x:c r="K95" s="8" t="str">
        <x:v>TC-BR-INT-19-A TC-BR-INT-19-B</x:v>
      </x:c>
      <x:c r="L95" s="8" t="str">
        <x:v>Specified</x:v>
      </x:c>
      <x:c r="M95" s="10" t="str">
        <x:v>Not implemented</x:v>
      </x:c>
      <x:c r="N95" s="10" t="str">
        <x:v>Not run</x:v>
      </x:c>
    </x:row>
    <x:row r="96" ht="35.25" customHeight="1">
      <x:c r="A96" s="7" t="str">
        <x:v>BR-INT-20</x:v>
      </x:c>
      <x:c r="B96" s="7" t="str">
        <x:v>EHR connector capability profile</x:v>
      </x:c>
      <x:c r="C96" s="7" t="str">
        <x:v>Must</x:v>
      </x:c>
      <x:c r="D96" s="7" t="str">
        <x:v>R1</x:v>
      </x:c>
      <x:c r="E96" s="7" t="str">
        <x:v>FR-INT-20</x:v>
      </x:c>
      <x:c r="F96" s="7" t="str">
        <x:v>FSD INT</x:v>
      </x:c>
      <x:c r="G96" s="7" t="str">
        <x:v>SCR07 SCR10 SCR11 SCR14 SCR20</x:v>
      </x:c>
      <x:c r="H96" s="7" t="str">
        <x:v>C07 C09</x:v>
      </x:c>
      <x:c r="I96" s="7" t="str">
        <x:v>API019 API020 API021 API026 API052 API053 API054 API055 API060 API061</x:v>
      </x:c>
      <x:c r="J96" s="7" t="str">
        <x:v>WP07</x:v>
      </x:c>
      <x:c r="K96" s="7" t="str">
        <x:v>TC-BR-INT-20-A TC-BR-INT-20-B</x:v>
      </x:c>
      <x:c r="L96" s="7" t="str">
        <x:v>Specified</x:v>
      </x:c>
      <x:c r="M96" s="10" t="str">
        <x:v>Not implemented</x:v>
      </x:c>
      <x:c r="N96" s="10" t="str">
        <x:v>Not run</x:v>
      </x:c>
    </x:row>
    <x:row r="97" ht="35.25" customHeight="1">
      <x:c r="A97" s="8" t="str">
        <x:v>BR-INT-21</x:v>
      </x:c>
      <x:c r="B97" s="8" t="str">
        <x:v>EHR writeback and conflict handling</x:v>
      </x:c>
      <x:c r="C97" s="8" t="str">
        <x:v>Must</x:v>
      </x:c>
      <x:c r="D97" s="8" t="str">
        <x:v>R1</x:v>
      </x:c>
      <x:c r="E97" s="8" t="str">
        <x:v>FR-INT-21</x:v>
      </x:c>
      <x:c r="F97" s="8" t="str">
        <x:v>FSD INT</x:v>
      </x:c>
      <x:c r="G97" s="8" t="str">
        <x:v>SCR07 SCR10 SCR11 SCR14 SCR20</x:v>
      </x:c>
      <x:c r="H97" s="8" t="str">
        <x:v>C07 C09</x:v>
      </x:c>
      <x:c r="I97" s="8" t="str">
        <x:v>API019 API020 API021 API026 API052 API053 API054 API055 API060 API061</x:v>
      </x:c>
      <x:c r="J97" s="8" t="str">
        <x:v>WP07</x:v>
      </x:c>
      <x:c r="K97" s="8" t="str">
        <x:v>TC-BR-INT-21-A TC-BR-INT-21-B</x:v>
      </x:c>
      <x:c r="L97" s="8" t="str">
        <x:v>Specified</x:v>
      </x:c>
      <x:c r="M97" s="10" t="str">
        <x:v>Not implemented</x:v>
      </x:c>
      <x:c r="N97" s="10" t="str">
        <x:v>Not run</x:v>
      </x:c>
    </x:row>
    <x:row r="98" ht="35.25" customHeight="1">
      <x:c r="A98" s="7" t="str">
        <x:v>BR-INT-22</x:v>
      </x:c>
      <x:c r="B98" s="7" t="str">
        <x:v>Legacy and document exchange</x:v>
      </x:c>
      <x:c r="C98" s="7" t="str">
        <x:v>Should</x:v>
      </x:c>
      <x:c r="D98" s="7" t="str">
        <x:v>R1</x:v>
      </x:c>
      <x:c r="E98" s="7" t="str">
        <x:v>FR-INT-22</x:v>
      </x:c>
      <x:c r="F98" s="7" t="str">
        <x:v>FSD INT</x:v>
      </x:c>
      <x:c r="G98" s="7" t="str">
        <x:v>SCR07 SCR10 SCR11 SCR14 SCR20</x:v>
      </x:c>
      <x:c r="H98" s="7" t="str">
        <x:v>C07 C09</x:v>
      </x:c>
      <x:c r="I98" s="7" t="str">
        <x:v>API019 API020 API021 API026 API052 API053 API054 API055 API060 API061</x:v>
      </x:c>
      <x:c r="J98" s="7" t="str">
        <x:v>WP07</x:v>
      </x:c>
      <x:c r="K98" s="7" t="str">
        <x:v>TC-BR-INT-22-A TC-BR-INT-22-B</x:v>
      </x:c>
      <x:c r="L98" s="7" t="str">
        <x:v>Specified</x:v>
      </x:c>
      <x:c r="M98" s="10" t="str">
        <x:v>Not implemented</x:v>
      </x:c>
      <x:c r="N98" s="10" t="str">
        <x:v>Not run</x:v>
      </x:c>
    </x:row>
    <x:row r="99" ht="35.25" customHeight="1">
      <x:c r="A99" s="8" t="str">
        <x:v>BR-INT-23</x:v>
      </x:c>
      <x:c r="B99" s="8" t="str">
        <x:v>Terminology and mapping governance</x:v>
      </x:c>
      <x:c r="C99" s="8" t="str">
        <x:v>Must</x:v>
      </x:c>
      <x:c r="D99" s="8" t="str">
        <x:v>R1</x:v>
      </x:c>
      <x:c r="E99" s="8" t="str">
        <x:v>FR-INT-23</x:v>
      </x:c>
      <x:c r="F99" s="8" t="str">
        <x:v>FSD INT</x:v>
      </x:c>
      <x:c r="G99" s="8" t="str">
        <x:v>SCR07 SCR10 SCR11 SCR14 SCR20</x:v>
      </x:c>
      <x:c r="H99" s="8" t="str">
        <x:v>C07 C09</x:v>
      </x:c>
      <x:c r="I99" s="8" t="str">
        <x:v>API019 API020 API021 API026 API052 API053 API054 API055 API060 API061</x:v>
      </x:c>
      <x:c r="J99" s="8" t="str">
        <x:v>WP07</x:v>
      </x:c>
      <x:c r="K99" s="8" t="str">
        <x:v>TC-BR-INT-23-A TC-BR-INT-23-B</x:v>
      </x:c>
      <x:c r="L99" s="8" t="str">
        <x:v>Specified</x:v>
      </x:c>
      <x:c r="M99" s="10" t="str">
        <x:v>Not implemented</x:v>
      </x:c>
      <x:c r="N99" s="10" t="str">
        <x:v>Not run</x:v>
      </x:c>
    </x:row>
    <x:row r="100" ht="35.25" customHeight="1">
      <x:c r="A100" s="7" t="str">
        <x:v>BR-INT-24</x:v>
      </x:c>
      <x:c r="B100" s="7" t="str">
        <x:v>Conformance and production claims</x:v>
      </x:c>
      <x:c r="C100" s="7" t="str">
        <x:v>Must</x:v>
      </x:c>
      <x:c r="D100" s="7" t="str">
        <x:v>R1</x:v>
      </x:c>
      <x:c r="E100" s="7" t="str">
        <x:v>FR-INT-24</x:v>
      </x:c>
      <x:c r="F100" s="7" t="str">
        <x:v>FSD INT</x:v>
      </x:c>
      <x:c r="G100" s="7" t="str">
        <x:v>SCR07 SCR10 SCR11 SCR14 SCR20</x:v>
      </x:c>
      <x:c r="H100" s="7" t="str">
        <x:v>C07 C09</x:v>
      </x:c>
      <x:c r="I100" s="7" t="str">
        <x:v>API019 API020 API021 API026 API052 API053 API054 API055 API060 API061</x:v>
      </x:c>
      <x:c r="J100" s="7" t="str">
        <x:v>WP07</x:v>
      </x:c>
      <x:c r="K100" s="7" t="str">
        <x:v>TC-BR-INT-24-A TC-BR-INT-24-B</x:v>
      </x:c>
      <x:c r="L100" s="7" t="str">
        <x:v>Specified</x:v>
      </x:c>
      <x:c r="M100" s="10" t="str">
        <x:v>Not implemented</x:v>
      </x:c>
      <x:c r="N100" s="10" t="str">
        <x:v>Not run</x:v>
      </x:c>
    </x:row>
    <x:row r="101" ht="30" customHeight="1">
      <x:c r="A101" s="8" t="str">
        <x:v>BR-OFF-01</x:v>
      </x:c>
      <x:c r="B101" s="8" t="str">
        <x:v>Defined offline capability</x:v>
      </x:c>
      <x:c r="C101" s="8" t="str">
        <x:v>Must</x:v>
      </x:c>
      <x:c r="D101" s="8" t="str">
        <x:v>R1</x:v>
      </x:c>
      <x:c r="E101" s="8" t="str">
        <x:v>FR-OFF-01</x:v>
      </x:c>
      <x:c r="F101" s="8" t="str">
        <x:v>FSD OFF</x:v>
      </x:c>
      <x:c r="G101" s="8" t="str">
        <x:v>SCR01 SCR03 SCR07 SCR09</x:v>
      </x:c>
      <x:c r="H101" s="8" t="str">
        <x:v>C01 C03 C10</x:v>
      </x:c>
      <x:c r="I101" s="8" t="str">
        <x:v>API027 API028</x:v>
      </x:c>
      <x:c r="J101" s="8" t="str">
        <x:v>WP08</x:v>
      </x:c>
      <x:c r="K101" s="8" t="str">
        <x:v>TC-BR-OFF-01-A TC-BR-OFF-01-B</x:v>
      </x:c>
      <x:c r="L101" s="8" t="str">
        <x:v>Specified</x:v>
      </x:c>
      <x:c r="M101" s="10" t="str">
        <x:v>Not implemented</x:v>
      </x:c>
      <x:c r="N101" s="10" t="str">
        <x:v>Not run</x:v>
      </x:c>
    </x:row>
    <x:row r="102" ht="30" customHeight="1">
      <x:c r="A102" s="7" t="str">
        <x:v>BR-OFF-02</x:v>
      </x:c>
      <x:c r="B102" s="7" t="str">
        <x:v>Durable local capture</x:v>
      </x:c>
      <x:c r="C102" s="7" t="str">
        <x:v>Must</x:v>
      </x:c>
      <x:c r="D102" s="7" t="str">
        <x:v>R1</x:v>
      </x:c>
      <x:c r="E102" s="7" t="str">
        <x:v>FR-OFF-02</x:v>
      </x:c>
      <x:c r="F102" s="7" t="str">
        <x:v>FSD OFF</x:v>
      </x:c>
      <x:c r="G102" s="7" t="str">
        <x:v>SCR01 SCR03 SCR07 SCR09</x:v>
      </x:c>
      <x:c r="H102" s="7" t="str">
        <x:v>C01 C03 C10</x:v>
      </x:c>
      <x:c r="I102" s="7" t="str">
        <x:v>API027 API028</x:v>
      </x:c>
      <x:c r="J102" s="7" t="str">
        <x:v>WP08</x:v>
      </x:c>
      <x:c r="K102" s="7" t="str">
        <x:v>TC-BR-OFF-02-A TC-BR-OFF-02-B</x:v>
      </x:c>
      <x:c r="L102" s="7" t="str">
        <x:v>Specified</x:v>
      </x:c>
      <x:c r="M102" s="10" t="str">
        <x:v>Not implemented</x:v>
      </x:c>
      <x:c r="N102" s="10" t="str">
        <x:v>Not run</x:v>
      </x:c>
    </x:row>
    <x:row r="103" ht="30" customHeight="1">
      <x:c r="A103" s="8" t="str">
        <x:v>BR-OFF-03</x:v>
      </x:c>
      <x:c r="B103" s="8" t="str">
        <x:v>Controlled offline authority</x:v>
      </x:c>
      <x:c r="C103" s="8" t="str">
        <x:v>Must</x:v>
      </x:c>
      <x:c r="D103" s="8" t="str">
        <x:v>R1</x:v>
      </x:c>
      <x:c r="E103" s="8" t="str">
        <x:v>FR-OFF-03</x:v>
      </x:c>
      <x:c r="F103" s="8" t="str">
        <x:v>FSD OFF</x:v>
      </x:c>
      <x:c r="G103" s="8" t="str">
        <x:v>SCR01 SCR03 SCR07 SCR09</x:v>
      </x:c>
      <x:c r="H103" s="8" t="str">
        <x:v>C01 C03 C10</x:v>
      </x:c>
      <x:c r="I103" s="8" t="str">
        <x:v>API027 API028</x:v>
      </x:c>
      <x:c r="J103" s="8" t="str">
        <x:v>WP08</x:v>
      </x:c>
      <x:c r="K103" s="8" t="str">
        <x:v>TC-BR-OFF-03-A TC-BR-OFF-03-B</x:v>
      </x:c>
      <x:c r="L103" s="8" t="str">
        <x:v>Specified</x:v>
      </x:c>
      <x:c r="M103" s="10" t="str">
        <x:v>Not implemented</x:v>
      </x:c>
      <x:c r="N103" s="10" t="str">
        <x:v>Not run</x:v>
      </x:c>
    </x:row>
    <x:row r="104" ht="30" customHeight="1">
      <x:c r="A104" s="7" t="str">
        <x:v>BR-OFF-04</x:v>
      </x:c>
      <x:c r="B104" s="7" t="str">
        <x:v>Pending media and AI work</x:v>
      </x:c>
      <x:c r="C104" s="7" t="str">
        <x:v>Must</x:v>
      </x:c>
      <x:c r="D104" s="7" t="str">
        <x:v>R1</x:v>
      </x:c>
      <x:c r="E104" s="7" t="str">
        <x:v>FR-OFF-04</x:v>
      </x:c>
      <x:c r="F104" s="7" t="str">
        <x:v>FSD OFF</x:v>
      </x:c>
      <x:c r="G104" s="7" t="str">
        <x:v>SCR01 SCR03 SCR07 SCR09</x:v>
      </x:c>
      <x:c r="H104" s="7" t="str">
        <x:v>C01 C03 C10</x:v>
      </x:c>
      <x:c r="I104" s="7" t="str">
        <x:v>API027 API028</x:v>
      </x:c>
      <x:c r="J104" s="7" t="str">
        <x:v>WP08</x:v>
      </x:c>
      <x:c r="K104" s="7" t="str">
        <x:v>TC-BR-OFF-04-A TC-BR-OFF-04-B</x:v>
      </x:c>
      <x:c r="L104" s="7" t="str">
        <x:v>Specified</x:v>
      </x:c>
      <x:c r="M104" s="10" t="str">
        <x:v>Not implemented</x:v>
      </x:c>
      <x:c r="N104" s="10" t="str">
        <x:v>Not run</x:v>
      </x:c>
    </x:row>
    <x:row r="105" ht="30" customHeight="1">
      <x:c r="A105" s="8" t="str">
        <x:v>BR-OFF-05</x:v>
      </x:c>
      <x:c r="B105" s="8" t="str">
        <x:v>Safe synchronisation ordering</x:v>
      </x:c>
      <x:c r="C105" s="8" t="str">
        <x:v>Must</x:v>
      </x:c>
      <x:c r="D105" s="8" t="str">
        <x:v>R1</x:v>
      </x:c>
      <x:c r="E105" s="8" t="str">
        <x:v>FR-OFF-05</x:v>
      </x:c>
      <x:c r="F105" s="8" t="str">
        <x:v>FSD OFF</x:v>
      </x:c>
      <x:c r="G105" s="8" t="str">
        <x:v>SCR01 SCR03 SCR07 SCR09</x:v>
      </x:c>
      <x:c r="H105" s="8" t="str">
        <x:v>C01 C03 C10</x:v>
      </x:c>
      <x:c r="I105" s="8" t="str">
        <x:v>API027 API028</x:v>
      </x:c>
      <x:c r="J105" s="8" t="str">
        <x:v>WP08</x:v>
      </x:c>
      <x:c r="K105" s="8" t="str">
        <x:v>TC-BR-OFF-05-A TC-BR-OFF-05-B</x:v>
      </x:c>
      <x:c r="L105" s="8" t="str">
        <x:v>Specified</x:v>
      </x:c>
      <x:c r="M105" s="10" t="str">
        <x:v>Not implemented</x:v>
      </x:c>
      <x:c r="N105" s="10" t="str">
        <x:v>Not run</x:v>
      </x:c>
    </x:row>
    <x:row r="106" ht="30" customHeight="1">
      <x:c r="A106" s="7" t="str">
        <x:v>BR-OFF-06</x:v>
      </x:c>
      <x:c r="B106" s="7" t="str">
        <x:v>Revalidation of delayed actions</x:v>
      </x:c>
      <x:c r="C106" s="7" t="str">
        <x:v>Must</x:v>
      </x:c>
      <x:c r="D106" s="7" t="str">
        <x:v>R1</x:v>
      </x:c>
      <x:c r="E106" s="7" t="str">
        <x:v>FR-OFF-06</x:v>
      </x:c>
      <x:c r="F106" s="7" t="str">
        <x:v>FSD OFF</x:v>
      </x:c>
      <x:c r="G106" s="7" t="str">
        <x:v>SCR01 SCR03 SCR07 SCR09</x:v>
      </x:c>
      <x:c r="H106" s="7" t="str">
        <x:v>C01 C03 C10</x:v>
      </x:c>
      <x:c r="I106" s="7" t="str">
        <x:v>API027 API028</x:v>
      </x:c>
      <x:c r="J106" s="7" t="str">
        <x:v>WP08</x:v>
      </x:c>
      <x:c r="K106" s="7" t="str">
        <x:v>TC-BR-OFF-06-A TC-BR-OFF-06-B</x:v>
      </x:c>
      <x:c r="L106" s="7" t="str">
        <x:v>Specified</x:v>
      </x:c>
      <x:c r="M106" s="10" t="str">
        <x:v>Not implemented</x:v>
      </x:c>
      <x:c r="N106" s="10" t="str">
        <x:v>Not run</x:v>
      </x:c>
    </x:row>
    <x:row r="107" ht="30" customHeight="1">
      <x:c r="A107" s="8" t="str">
        <x:v>BR-OFF-07</x:v>
      </x:c>
      <x:c r="B107" s="8" t="str">
        <x:v>Shared and lost devices</x:v>
      </x:c>
      <x:c r="C107" s="8" t="str">
        <x:v>Must</x:v>
      </x:c>
      <x:c r="D107" s="8" t="str">
        <x:v>R1</x:v>
      </x:c>
      <x:c r="E107" s="8" t="str">
        <x:v>FR-OFF-07</x:v>
      </x:c>
      <x:c r="F107" s="8" t="str">
        <x:v>FSD OFF</x:v>
      </x:c>
      <x:c r="G107" s="8" t="str">
        <x:v>SCR01 SCR03 SCR07 SCR09</x:v>
      </x:c>
      <x:c r="H107" s="8" t="str">
        <x:v>C01 C03 C10</x:v>
      </x:c>
      <x:c r="I107" s="8" t="str">
        <x:v>API027 API028</x:v>
      </x:c>
      <x:c r="J107" s="8" t="str">
        <x:v>WP08</x:v>
      </x:c>
      <x:c r="K107" s="8" t="str">
        <x:v>TC-BR-OFF-07-A TC-BR-OFF-07-B</x:v>
      </x:c>
      <x:c r="L107" s="8" t="str">
        <x:v>Specified</x:v>
      </x:c>
      <x:c r="M107" s="10" t="str">
        <x:v>Not implemented</x:v>
      </x:c>
      <x:c r="N107" s="10" t="str">
        <x:v>Not run</x:v>
      </x:c>
    </x:row>
    <x:row r="108" ht="30" customHeight="1">
      <x:c r="A108" s="7" t="str">
        <x:v>BR-OFF-08</x:v>
      </x:c>
      <x:c r="B108" s="7" t="str">
        <x:v>Offline workflow capacity</x:v>
      </x:c>
      <x:c r="C108" s="7" t="str">
        <x:v>Must</x:v>
      </x:c>
      <x:c r="D108" s="7" t="str">
        <x:v>R1</x:v>
      </x:c>
      <x:c r="E108" s="7" t="str">
        <x:v>FR-OFF-08</x:v>
      </x:c>
      <x:c r="F108" s="7" t="str">
        <x:v>FSD OFF</x:v>
      </x:c>
      <x:c r="G108" s="7" t="str">
        <x:v>SCR01 SCR03 SCR07 SCR09</x:v>
      </x:c>
      <x:c r="H108" s="7" t="str">
        <x:v>C01 C03 C10</x:v>
      </x:c>
      <x:c r="I108" s="7" t="str">
        <x:v>API027 API028</x:v>
      </x:c>
      <x:c r="J108" s="7" t="str">
        <x:v>WP08</x:v>
      </x:c>
      <x:c r="K108" s="7" t="str">
        <x:v>TC-BR-OFF-08-A TC-BR-OFF-08-B</x:v>
      </x:c>
      <x:c r="L108" s="7" t="str">
        <x:v>Specified</x:v>
      </x:c>
      <x:c r="M108" s="10" t="str">
        <x:v>Not implemented</x:v>
      </x:c>
      <x:c r="N108" s="10" t="str">
        <x:v>Not run</x:v>
      </x:c>
    </x:row>
    <x:row r="109" ht="35.25" customHeight="1">
      <x:c r="A109" s="8" t="str">
        <x:v>BR-CARE-01</x:v>
      </x:c>
      <x:c r="B109" s="8" t="str">
        <x:v>Action ownership</x:v>
      </x:c>
      <x:c r="C109" s="8" t="str">
        <x:v>Must</x:v>
      </x:c>
      <x:c r="D109" s="8" t="str">
        <x:v>R1</x:v>
      </x:c>
      <x:c r="E109" s="8" t="str">
        <x:v>FR-CARE-01</x:v>
      </x:c>
      <x:c r="F109" s="8" t="str">
        <x:v>FSD CARE</x:v>
      </x:c>
      <x:c r="G109" s="8" t="str">
        <x:v>SCR05 SCR08 SCR10 SCR13</x:v>
      </x:c>
      <x:c r="H109" s="8" t="str">
        <x:v>C08 C11</x:v>
      </x:c>
      <x:c r="I109" s="8" t="str">
        <x:v>API022 API023 API024 API025 API056 API057 API058 API059</x:v>
      </x:c>
      <x:c r="J109" s="8" t="str">
        <x:v>WP09</x:v>
      </x:c>
      <x:c r="K109" s="8" t="str">
        <x:v>TC-BR-CARE-01-A TC-BR-CARE-01-B</x:v>
      </x:c>
      <x:c r="L109" s="8" t="str">
        <x:v>Specified</x:v>
      </x:c>
      <x:c r="M109" s="10" t="str">
        <x:v>Not implemented</x:v>
      </x:c>
      <x:c r="N109" s="10" t="str">
        <x:v>Not run</x:v>
      </x:c>
    </x:row>
    <x:row r="110" ht="35.25" customHeight="1">
      <x:c r="A110" s="7" t="str">
        <x:v>BR-CARE-02</x:v>
      </x:c>
      <x:c r="B110" s="7" t="str">
        <x:v>Service directory</x:v>
      </x:c>
      <x:c r="C110" s="7" t="str">
        <x:v>Must</x:v>
      </x:c>
      <x:c r="D110" s="7" t="str">
        <x:v>R1</x:v>
      </x:c>
      <x:c r="E110" s="7" t="str">
        <x:v>FR-CARE-02</x:v>
      </x:c>
      <x:c r="F110" s="7" t="str">
        <x:v>FSD CARE</x:v>
      </x:c>
      <x:c r="G110" s="7" t="str">
        <x:v>SCR05 SCR08 SCR10 SCR13</x:v>
      </x:c>
      <x:c r="H110" s="7" t="str">
        <x:v>C08 C11</x:v>
      </x:c>
      <x:c r="I110" s="7" t="str">
        <x:v>API022 API023 API024 API025 API056 API057 API058 API059</x:v>
      </x:c>
      <x:c r="J110" s="7" t="str">
        <x:v>WP09</x:v>
      </x:c>
      <x:c r="K110" s="7" t="str">
        <x:v>TC-BR-CARE-02-A TC-BR-CARE-02-B</x:v>
      </x:c>
      <x:c r="L110" s="7" t="str">
        <x:v>Specified</x:v>
      </x:c>
      <x:c r="M110" s="10" t="str">
        <x:v>Not implemented</x:v>
      </x:c>
      <x:c r="N110" s="10" t="str">
        <x:v>Not run</x:v>
      </x:c>
    </x:row>
    <x:row r="111" ht="35.25" customHeight="1">
      <x:c r="A111" s="8" t="str">
        <x:v>BR-CARE-03</x:v>
      </x:c>
      <x:c r="B111" s="8" t="str">
        <x:v>Referral lifecycle</x:v>
      </x:c>
      <x:c r="C111" s="8" t="str">
        <x:v>Must</x:v>
      </x:c>
      <x:c r="D111" s="8" t="str">
        <x:v>R1</x:v>
      </x:c>
      <x:c r="E111" s="8" t="str">
        <x:v>FR-CARE-03</x:v>
      </x:c>
      <x:c r="F111" s="8" t="str">
        <x:v>FSD CARE</x:v>
      </x:c>
      <x:c r="G111" s="8" t="str">
        <x:v>SCR05 SCR08 SCR10 SCR13</x:v>
      </x:c>
      <x:c r="H111" s="8" t="str">
        <x:v>C08 C11</x:v>
      </x:c>
      <x:c r="I111" s="8" t="str">
        <x:v>API022 API023 API024 API025 API056 API057 API058 API059</x:v>
      </x:c>
      <x:c r="J111" s="8" t="str">
        <x:v>WP09</x:v>
      </x:c>
      <x:c r="K111" s="8" t="str">
        <x:v>TC-BR-CARE-03-A TC-BR-CARE-03-B</x:v>
      </x:c>
      <x:c r="L111" s="8" t="str">
        <x:v>Specified</x:v>
      </x:c>
      <x:c r="M111" s="10" t="str">
        <x:v>Not implemented</x:v>
      </x:c>
      <x:c r="N111" s="10" t="str">
        <x:v>Not run</x:v>
      </x:c>
    </x:row>
    <x:row r="112" ht="35.25" customHeight="1">
      <x:c r="A112" s="7" t="str">
        <x:v>BR-CARE-04</x:v>
      </x:c>
      <x:c r="B112" s="7" t="str">
        <x:v>Due work and escalation</x:v>
      </x:c>
      <x:c r="C112" s="7" t="str">
        <x:v>Must</x:v>
      </x:c>
      <x:c r="D112" s="7" t="str">
        <x:v>R1</x:v>
      </x:c>
      <x:c r="E112" s="7" t="str">
        <x:v>FR-CARE-04</x:v>
      </x:c>
      <x:c r="F112" s="7" t="str">
        <x:v>FSD CARE</x:v>
      </x:c>
      <x:c r="G112" s="7" t="str">
        <x:v>SCR05 SCR08 SCR10 SCR13</x:v>
      </x:c>
      <x:c r="H112" s="7" t="str">
        <x:v>C08 C11</x:v>
      </x:c>
      <x:c r="I112" s="7" t="str">
        <x:v>API022 API023 API024 API025 API056 API057 API058 API059</x:v>
      </x:c>
      <x:c r="J112" s="7" t="str">
        <x:v>WP09</x:v>
      </x:c>
      <x:c r="K112" s="7" t="str">
        <x:v>TC-BR-CARE-04-A TC-BR-CARE-04-B</x:v>
      </x:c>
      <x:c r="L112" s="7" t="str">
        <x:v>Specified</x:v>
      </x:c>
      <x:c r="M112" s="10" t="str">
        <x:v>Not implemented</x:v>
      </x:c>
      <x:c r="N112" s="10" t="str">
        <x:v>Not run</x:v>
      </x:c>
    </x:row>
    <x:row r="113" ht="35.25" customHeight="1">
      <x:c r="A113" s="8" t="str">
        <x:v>BR-CARE-05</x:v>
      </x:c>
      <x:c r="B113" s="8" t="str">
        <x:v>Unified action plan</x:v>
      </x:c>
      <x:c r="C113" s="8" t="str">
        <x:v>Must</x:v>
      </x:c>
      <x:c r="D113" s="8" t="str">
        <x:v>R1</x:v>
      </x:c>
      <x:c r="E113" s="8" t="str">
        <x:v>FR-CARE-05</x:v>
      </x:c>
      <x:c r="F113" s="8" t="str">
        <x:v>FSD CARE</x:v>
      </x:c>
      <x:c r="G113" s="8" t="str">
        <x:v>SCR05 SCR08 SCR10 SCR13</x:v>
      </x:c>
      <x:c r="H113" s="8" t="str">
        <x:v>C08 C11</x:v>
      </x:c>
      <x:c r="I113" s="8" t="str">
        <x:v>API022 API023 API024 API025 API056 API057 API058 API059</x:v>
      </x:c>
      <x:c r="J113" s="8" t="str">
        <x:v>WP09</x:v>
      </x:c>
      <x:c r="K113" s="8" t="str">
        <x:v>TC-BR-CARE-05-A TC-BR-CARE-05-B</x:v>
      </x:c>
      <x:c r="L113" s="8" t="str">
        <x:v>Specified</x:v>
      </x:c>
      <x:c r="M113" s="10" t="str">
        <x:v>Not implemented</x:v>
      </x:c>
      <x:c r="N113" s="10" t="str">
        <x:v>Not run</x:v>
      </x:c>
    </x:row>
    <x:row r="114" ht="35.25" customHeight="1">
      <x:c r="A114" s="7" t="str">
        <x:v>BR-CARE-06</x:v>
      </x:c>
      <x:c r="B114" s="7" t="str">
        <x:v>Safe communication preferences</x:v>
      </x:c>
      <x:c r="C114" s="7" t="str">
        <x:v>Must</x:v>
      </x:c>
      <x:c r="D114" s="7" t="str">
        <x:v>R1</x:v>
      </x:c>
      <x:c r="E114" s="7" t="str">
        <x:v>FR-CARE-06</x:v>
      </x:c>
      <x:c r="F114" s="7" t="str">
        <x:v>FSD CARE</x:v>
      </x:c>
      <x:c r="G114" s="7" t="str">
        <x:v>SCR05 SCR08 SCR10 SCR13</x:v>
      </x:c>
      <x:c r="H114" s="7" t="str">
        <x:v>C08 C11</x:v>
      </x:c>
      <x:c r="I114" s="7" t="str">
        <x:v>API022 API023 API024 API025 API056 API057 API058 API059</x:v>
      </x:c>
      <x:c r="J114" s="7" t="str">
        <x:v>WP09</x:v>
      </x:c>
      <x:c r="K114" s="7" t="str">
        <x:v>TC-BR-CARE-06-A TC-BR-CARE-06-B</x:v>
      </x:c>
      <x:c r="L114" s="7" t="str">
        <x:v>Specified</x:v>
      </x:c>
      <x:c r="M114" s="10" t="str">
        <x:v>Not implemented</x:v>
      </x:c>
      <x:c r="N114" s="10" t="str">
        <x:v>Not run</x:v>
      </x:c>
    </x:row>
    <x:row r="115" ht="35.25" customHeight="1">
      <x:c r="A115" s="8" t="str">
        <x:v>BR-CARE-07</x:v>
      </x:c>
      <x:c r="B115" s="8" t="str">
        <x:v>External messaging and scheduling</x:v>
      </x:c>
      <x:c r="C115" s="8" t="str">
        <x:v>Should</x:v>
      </x:c>
      <x:c r="D115" s="8" t="str">
        <x:v>R2</x:v>
      </x:c>
      <x:c r="E115" s="8" t="str">
        <x:v>FR-CARE-07</x:v>
      </x:c>
      <x:c r="F115" s="8" t="str">
        <x:v>FSD CARE</x:v>
      </x:c>
      <x:c r="G115" s="8" t="str">
        <x:v>SCR05 SCR08 SCR10 SCR13</x:v>
      </x:c>
      <x:c r="H115" s="8" t="str">
        <x:v>C08 C11</x:v>
      </x:c>
      <x:c r="I115" s="8" t="str">
        <x:v>API022 API023 API024 API025 API056 API057 API058 API059</x:v>
      </x:c>
      <x:c r="J115" s="8" t="str">
        <x:v>WP09</x:v>
      </x:c>
      <x:c r="K115" s="8" t="str">
        <x:v>TC-BR-CARE-07-A TC-BR-CARE-07-B</x:v>
      </x:c>
      <x:c r="L115" s="8" t="str">
        <x:v>Specified</x:v>
      </x:c>
      <x:c r="M115" s="10" t="str">
        <x:v>Not implemented</x:v>
      </x:c>
      <x:c r="N115" s="10" t="str">
        <x:v>Not run</x:v>
      </x:c>
    </x:row>
    <x:row r="116" ht="35.25" customHeight="1">
      <x:c r="A116" s="7" t="str">
        <x:v>BR-CARE-08</x:v>
      </x:c>
      <x:c r="B116" s="7" t="str">
        <x:v>Worker activity evidence</x:v>
      </x:c>
      <x:c r="C116" s="7" t="str">
        <x:v>Must</x:v>
      </x:c>
      <x:c r="D116" s="7" t="str">
        <x:v>R1</x:v>
      </x:c>
      <x:c r="E116" s="7" t="str">
        <x:v>FR-CARE-08</x:v>
      </x:c>
      <x:c r="F116" s="7" t="str">
        <x:v>FSD CARE</x:v>
      </x:c>
      <x:c r="G116" s="7" t="str">
        <x:v>SCR05 SCR08 SCR10 SCR13</x:v>
      </x:c>
      <x:c r="H116" s="7" t="str">
        <x:v>C08 C11</x:v>
      </x:c>
      <x:c r="I116" s="7" t="str">
        <x:v>API022 API023 API024 API025 API056 API057 API058 API059</x:v>
      </x:c>
      <x:c r="J116" s="7" t="str">
        <x:v>WP09</x:v>
      </x:c>
      <x:c r="K116" s="7" t="str">
        <x:v>TC-BR-CARE-08-A TC-BR-CARE-08-B</x:v>
      </x:c>
      <x:c r="L116" s="7" t="str">
        <x:v>Specified</x:v>
      </x:c>
      <x:c r="M116" s="10" t="str">
        <x:v>Not implemented</x:v>
      </x:c>
      <x:c r="N116" s="10" t="str">
        <x:v>Not run</x:v>
      </x:c>
    </x:row>
    <x:row r="117" ht="30" customHeight="1">
      <x:c r="A117" s="8" t="str">
        <x:v>BR-REP-01</x:v>
      </x:c>
      <x:c r="B117" s="8" t="str">
        <x:v>Operational exception queues</x:v>
      </x:c>
      <x:c r="C117" s="8" t="str">
        <x:v>Must</x:v>
      </x:c>
      <x:c r="D117" s="8" t="str">
        <x:v>R1</x:v>
      </x:c>
      <x:c r="E117" s="8" t="str">
        <x:v>FR-REP-01</x:v>
      </x:c>
      <x:c r="F117" s="8" t="str">
        <x:v>FSD REP</x:v>
      </x:c>
      <x:c r="G117" s="8" t="str">
        <x:v>SCR12 SCR13 SCR15</x:v>
      </x:c>
      <x:c r="H117" s="8" t="str">
        <x:v>C11 C12</x:v>
      </x:c>
      <x:c r="I117" s="8" t="str">
        <x:v>API032 API070 API071 API073 API074</x:v>
      </x:c>
      <x:c r="J117" s="8" t="str">
        <x:v>WP10</x:v>
      </x:c>
      <x:c r="K117" s="8" t="str">
        <x:v>TC-BR-REP-01-A TC-BR-REP-01-B</x:v>
      </x:c>
      <x:c r="L117" s="8" t="str">
        <x:v>Specified</x:v>
      </x:c>
      <x:c r="M117" s="10" t="str">
        <x:v>Not implemented</x:v>
      </x:c>
      <x:c r="N117" s="10" t="str">
        <x:v>Not run</x:v>
      </x:c>
    </x:row>
    <x:row r="118" ht="30" customHeight="1">
      <x:c r="A118" s="7" t="str">
        <x:v>BR-REP-02</x:v>
      </x:c>
      <x:c r="B118" s="7" t="str">
        <x:v>Governed indicator definitions</x:v>
      </x:c>
      <x:c r="C118" s="7" t="str">
        <x:v>Must</x:v>
      </x:c>
      <x:c r="D118" s="7" t="str">
        <x:v>R1</x:v>
      </x:c>
      <x:c r="E118" s="7" t="str">
        <x:v>FR-REP-02</x:v>
      </x:c>
      <x:c r="F118" s="7" t="str">
        <x:v>FSD REP</x:v>
      </x:c>
      <x:c r="G118" s="7" t="str">
        <x:v>SCR12 SCR13 SCR15</x:v>
      </x:c>
      <x:c r="H118" s="7" t="str">
        <x:v>C11 C12</x:v>
      </x:c>
      <x:c r="I118" s="7" t="str">
        <x:v>API032 API070 API071 API073 API074</x:v>
      </x:c>
      <x:c r="J118" s="7" t="str">
        <x:v>WP10</x:v>
      </x:c>
      <x:c r="K118" s="7" t="str">
        <x:v>TC-BR-REP-02-A TC-BR-REP-02-B</x:v>
      </x:c>
      <x:c r="L118" s="7" t="str">
        <x:v>Specified</x:v>
      </x:c>
      <x:c r="M118" s="10" t="str">
        <x:v>Not implemented</x:v>
      </x:c>
      <x:c r="N118" s="10" t="str">
        <x:v>Not run</x:v>
      </x:c>
    </x:row>
    <x:row r="119" ht="30" customHeight="1">
      <x:c r="A119" s="8" t="str">
        <x:v>BR-REP-03</x:v>
      </x:c>
      <x:c r="B119" s="8" t="str">
        <x:v>Data freshness and completeness</x:v>
      </x:c>
      <x:c r="C119" s="8" t="str">
        <x:v>Must</x:v>
      </x:c>
      <x:c r="D119" s="8" t="str">
        <x:v>R1</x:v>
      </x:c>
      <x:c r="E119" s="8" t="str">
        <x:v>FR-REP-03</x:v>
      </x:c>
      <x:c r="F119" s="8" t="str">
        <x:v>FSD REP</x:v>
      </x:c>
      <x:c r="G119" s="8" t="str">
        <x:v>SCR12 SCR13 SCR15</x:v>
      </x:c>
      <x:c r="H119" s="8" t="str">
        <x:v>C11 C12</x:v>
      </x:c>
      <x:c r="I119" s="8" t="str">
        <x:v>API032 API070 API071 API073 API074</x:v>
      </x:c>
      <x:c r="J119" s="8" t="str">
        <x:v>WP10</x:v>
      </x:c>
      <x:c r="K119" s="8" t="str">
        <x:v>TC-BR-REP-03-A TC-BR-REP-03-B</x:v>
      </x:c>
      <x:c r="L119" s="8" t="str">
        <x:v>Specified</x:v>
      </x:c>
      <x:c r="M119" s="10" t="str">
        <x:v>Not implemented</x:v>
      </x:c>
      <x:c r="N119" s="10" t="str">
        <x:v>Not run</x:v>
      </x:c>
    </x:row>
    <x:row r="120" ht="30" customHeight="1">
      <x:c r="A120" s="7" t="str">
        <x:v>BR-REP-04</x:v>
      </x:c>
      <x:c r="B120" s="7" t="str">
        <x:v>Privacy-preserving aggregation</x:v>
      </x:c>
      <x:c r="C120" s="7" t="str">
        <x:v>Must</x:v>
      </x:c>
      <x:c r="D120" s="7" t="str">
        <x:v>R1</x:v>
      </x:c>
      <x:c r="E120" s="7" t="str">
        <x:v>FR-REP-04</x:v>
      </x:c>
      <x:c r="F120" s="7" t="str">
        <x:v>FSD REP</x:v>
      </x:c>
      <x:c r="G120" s="7" t="str">
        <x:v>SCR12 SCR13 SCR15</x:v>
      </x:c>
      <x:c r="H120" s="7" t="str">
        <x:v>C11 C12</x:v>
      </x:c>
      <x:c r="I120" s="7" t="str">
        <x:v>API032 API070 API071 API073 API074</x:v>
      </x:c>
      <x:c r="J120" s="7" t="str">
        <x:v>WP10</x:v>
      </x:c>
      <x:c r="K120" s="7" t="str">
        <x:v>TC-BR-REP-04-A TC-BR-REP-04-B</x:v>
      </x:c>
      <x:c r="L120" s="7" t="str">
        <x:v>Specified</x:v>
      </x:c>
      <x:c r="M120" s="10" t="str">
        <x:v>Not implemented</x:v>
      </x:c>
      <x:c r="N120" s="10" t="str">
        <x:v>Not run</x:v>
      </x:c>
    </x:row>
    <x:row r="121" ht="30" customHeight="1">
      <x:c r="A121" s="8" t="str">
        <x:v>BR-REP-05</x:v>
      </x:c>
      <x:c r="B121" s="8" t="str">
        <x:v>Reconciled exports</x:v>
      </x:c>
      <x:c r="C121" s="8" t="str">
        <x:v>Must</x:v>
      </x:c>
      <x:c r="D121" s="8" t="str">
        <x:v>R1</x:v>
      </x:c>
      <x:c r="E121" s="8" t="str">
        <x:v>FR-REP-05</x:v>
      </x:c>
      <x:c r="F121" s="8" t="str">
        <x:v>FSD REP</x:v>
      </x:c>
      <x:c r="G121" s="8" t="str">
        <x:v>SCR12 SCR13 SCR15</x:v>
      </x:c>
      <x:c r="H121" s="8" t="str">
        <x:v>C11 C12</x:v>
      </x:c>
      <x:c r="I121" s="8" t="str">
        <x:v>API032 API070 API071 API073 API074</x:v>
      </x:c>
      <x:c r="J121" s="8" t="str">
        <x:v>WP10</x:v>
      </x:c>
      <x:c r="K121" s="8" t="str">
        <x:v>TC-BR-REP-05-A TC-BR-REP-05-B</x:v>
      </x:c>
      <x:c r="L121" s="8" t="str">
        <x:v>Specified</x:v>
      </x:c>
      <x:c r="M121" s="10" t="str">
        <x:v>Not implemented</x:v>
      </x:c>
      <x:c r="N121" s="10" t="str">
        <x:v>Not run</x:v>
      </x:c>
    </x:row>
    <x:row r="122" ht="30" customHeight="1">
      <x:c r="A122" s="7" t="str">
        <x:v>BR-REP-06</x:v>
      </x:c>
      <x:c r="B122" s="7" t="str">
        <x:v>Population prioritisation</x:v>
      </x:c>
      <x:c r="C122" s="7" t="str">
        <x:v>Should</x:v>
      </x:c>
      <x:c r="D122" s="7" t="str">
        <x:v>R2</x:v>
      </x:c>
      <x:c r="E122" s="7" t="str">
        <x:v>FR-REP-06</x:v>
      </x:c>
      <x:c r="F122" s="7" t="str">
        <x:v>FSD REP</x:v>
      </x:c>
      <x:c r="G122" s="7" t="str">
        <x:v>SCR12 SCR13 SCR15</x:v>
      </x:c>
      <x:c r="H122" s="7" t="str">
        <x:v>C11 C12</x:v>
      </x:c>
      <x:c r="I122" s="7" t="str">
        <x:v>API032 API070 API071 API073 API074</x:v>
      </x:c>
      <x:c r="J122" s="7" t="str">
        <x:v>WP10</x:v>
      </x:c>
      <x:c r="K122" s="7" t="str">
        <x:v>TC-BR-REP-06-A TC-BR-REP-06-B</x:v>
      </x:c>
      <x:c r="L122" s="7" t="str">
        <x:v>Specified</x:v>
      </x:c>
      <x:c r="M122" s="10" t="str">
        <x:v>Not implemented</x:v>
      </x:c>
      <x:c r="N122" s="10" t="str">
        <x:v>Not run</x:v>
      </x:c>
    </x:row>
    <x:row r="123" ht="30" customHeight="1">
      <x:c r="A123" s="8" t="str">
        <x:v>BR-REP-07</x:v>
      </x:c>
      <x:c r="B123" s="8" t="str">
        <x:v>Product performance metrics</x:v>
      </x:c>
      <x:c r="C123" s="8" t="str">
        <x:v>Must</x:v>
      </x:c>
      <x:c r="D123" s="8" t="str">
        <x:v>R1</x:v>
      </x:c>
      <x:c r="E123" s="8" t="str">
        <x:v>FR-REP-07</x:v>
      </x:c>
      <x:c r="F123" s="8" t="str">
        <x:v>FSD REP</x:v>
      </x:c>
      <x:c r="G123" s="8" t="str">
        <x:v>SCR12 SCR13 SCR15</x:v>
      </x:c>
      <x:c r="H123" s="8" t="str">
        <x:v>C11 C12</x:v>
      </x:c>
      <x:c r="I123" s="8" t="str">
        <x:v>API032 API070 API071 API073 API074</x:v>
      </x:c>
      <x:c r="J123" s="8" t="str">
        <x:v>WP10</x:v>
      </x:c>
      <x:c r="K123" s="8" t="str">
        <x:v>TC-BR-REP-07-A TC-BR-REP-07-B</x:v>
      </x:c>
      <x:c r="L123" s="8" t="str">
        <x:v>Specified</x:v>
      </x:c>
      <x:c r="M123" s="10" t="str">
        <x:v>Not implemented</x:v>
      </x:c>
      <x:c r="N123" s="10" t="str">
        <x:v>Not run</x:v>
      </x:c>
    </x:row>
    <x:row r="124" ht="30" customHeight="1">
      <x:c r="A124" s="7" t="str">
        <x:v>BR-OPS-01</x:v>
      </x:c>
      <x:c r="B124" s="7" t="str">
        <x:v>Deployment configuration</x:v>
      </x:c>
      <x:c r="C124" s="7" t="str">
        <x:v>Must</x:v>
      </x:c>
      <x:c r="D124" s="7" t="str">
        <x:v>R1</x:v>
      </x:c>
      <x:c r="E124" s="7" t="str">
        <x:v>FR-OPS-01</x:v>
      </x:c>
      <x:c r="F124" s="7" t="str">
        <x:v>FSD OPS</x:v>
      </x:c>
      <x:c r="G124" s="7" t="str">
        <x:v>SCR16 SCR18 SCR20 SCR22</x:v>
      </x:c>
      <x:c r="H124" s="7" t="str">
        <x:v>C12 C13</x:v>
      </x:c>
      <x:c r="I124" s="7" t="str">
        <x:v>API033 API035 API064 API065 API068 API069</x:v>
      </x:c>
      <x:c r="J124" s="7" t="str">
        <x:v>WP11</x:v>
      </x:c>
      <x:c r="K124" s="7" t="str">
        <x:v>TC-BR-OPS-01-A TC-BR-OPS-01-B</x:v>
      </x:c>
      <x:c r="L124" s="7" t="str">
        <x:v>Specified</x:v>
      </x:c>
      <x:c r="M124" s="10" t="str">
        <x:v>Not implemented</x:v>
      </x:c>
      <x:c r="N124" s="10" t="str">
        <x:v>Not run</x:v>
      </x:c>
    </x:row>
    <x:row r="125" ht="30" customHeight="1">
      <x:c r="A125" s="8" t="str">
        <x:v>BR-OPS-02</x:v>
      </x:c>
      <x:c r="B125" s="8" t="str">
        <x:v>Separation of environments</x:v>
      </x:c>
      <x:c r="C125" s="8" t="str">
        <x:v>Must</x:v>
      </x:c>
      <x:c r="D125" s="8" t="str">
        <x:v>R1</x:v>
      </x:c>
      <x:c r="E125" s="8" t="str">
        <x:v>FR-OPS-02</x:v>
      </x:c>
      <x:c r="F125" s="8" t="str">
        <x:v>FSD OPS</x:v>
      </x:c>
      <x:c r="G125" s="8" t="str">
        <x:v>SCR16 SCR18 SCR20 SCR22</x:v>
      </x:c>
      <x:c r="H125" s="8" t="str">
        <x:v>C12 C13</x:v>
      </x:c>
      <x:c r="I125" s="8" t="str">
        <x:v>API033 API035 API064 API065 API068 API069</x:v>
      </x:c>
      <x:c r="J125" s="8" t="str">
        <x:v>WP11</x:v>
      </x:c>
      <x:c r="K125" s="8" t="str">
        <x:v>TC-BR-OPS-02-A TC-BR-OPS-02-B</x:v>
      </x:c>
      <x:c r="L125" s="8" t="str">
        <x:v>Specified</x:v>
      </x:c>
      <x:c r="M125" s="10" t="str">
        <x:v>Not implemented</x:v>
      </x:c>
      <x:c r="N125" s="10" t="str">
        <x:v>Not run</x:v>
      </x:c>
    </x:row>
    <x:row r="126" ht="30" customHeight="1">
      <x:c r="A126" s="7" t="str">
        <x:v>BR-OPS-03</x:v>
      </x:c>
      <x:c r="B126" s="7" t="str">
        <x:v>Controlled publishing and rollback</x:v>
      </x:c>
      <x:c r="C126" s="7" t="str">
        <x:v>Must</x:v>
      </x:c>
      <x:c r="D126" s="7" t="str">
        <x:v>R1</x:v>
      </x:c>
      <x:c r="E126" s="7" t="str">
        <x:v>FR-OPS-03</x:v>
      </x:c>
      <x:c r="F126" s="7" t="str">
        <x:v>FSD OPS</x:v>
      </x:c>
      <x:c r="G126" s="7" t="str">
        <x:v>SCR16 SCR18 SCR20 SCR22</x:v>
      </x:c>
      <x:c r="H126" s="7" t="str">
        <x:v>C12 C13</x:v>
      </x:c>
      <x:c r="I126" s="7" t="str">
        <x:v>API033 API035 API064 API065 API068 API069</x:v>
      </x:c>
      <x:c r="J126" s="7" t="str">
        <x:v>WP11</x:v>
      </x:c>
      <x:c r="K126" s="7" t="str">
        <x:v>TC-BR-OPS-03-A TC-BR-OPS-03-B</x:v>
      </x:c>
      <x:c r="L126" s="7" t="str">
        <x:v>Specified</x:v>
      </x:c>
      <x:c r="M126" s="10" t="str">
        <x:v>Not implemented</x:v>
      </x:c>
      <x:c r="N126" s="10" t="str">
        <x:v>Not run</x:v>
      </x:c>
    </x:row>
    <x:row r="127" ht="30" customHeight="1">
      <x:c r="A127" s="8" t="str">
        <x:v>BR-OPS-04</x:v>
      </x:c>
      <x:c r="B127" s="8" t="str">
        <x:v>Operational monitoring</x:v>
      </x:c>
      <x:c r="C127" s="8" t="str">
        <x:v>Must</x:v>
      </x:c>
      <x:c r="D127" s="8" t="str">
        <x:v>R1</x:v>
      </x:c>
      <x:c r="E127" s="8" t="str">
        <x:v>FR-OPS-04</x:v>
      </x:c>
      <x:c r="F127" s="8" t="str">
        <x:v>FSD OPS</x:v>
      </x:c>
      <x:c r="G127" s="8" t="str">
        <x:v>SCR16 SCR18 SCR20 SCR22</x:v>
      </x:c>
      <x:c r="H127" s="8" t="str">
        <x:v>C12 C13</x:v>
      </x:c>
      <x:c r="I127" s="8" t="str">
        <x:v>API033 API035 API064 API065 API068 API069</x:v>
      </x:c>
      <x:c r="J127" s="8" t="str">
        <x:v>WP11</x:v>
      </x:c>
      <x:c r="K127" s="8" t="str">
        <x:v>TC-BR-OPS-04-A TC-BR-OPS-04-B</x:v>
      </x:c>
      <x:c r="L127" s="8" t="str">
        <x:v>Specified</x:v>
      </x:c>
      <x:c r="M127" s="10" t="str">
        <x:v>Not implemented</x:v>
      </x:c>
      <x:c r="N127" s="10" t="str">
        <x:v>Not run</x:v>
      </x:c>
    </x:row>
    <x:row r="128" ht="30" customHeight="1">
      <x:c r="A128" s="7" t="str">
        <x:v>BR-OPS-05</x:v>
      </x:c>
      <x:c r="B128" s="7" t="str">
        <x:v>Support without unnecessary disclosure</x:v>
      </x:c>
      <x:c r="C128" s="7" t="str">
        <x:v>Must</x:v>
      </x:c>
      <x:c r="D128" s="7" t="str">
        <x:v>R1</x:v>
      </x:c>
      <x:c r="E128" s="7" t="str">
        <x:v>FR-OPS-05</x:v>
      </x:c>
      <x:c r="F128" s="7" t="str">
        <x:v>FSD OPS</x:v>
      </x:c>
      <x:c r="G128" s="7" t="str">
        <x:v>SCR16 SCR18 SCR20 SCR22</x:v>
      </x:c>
      <x:c r="H128" s="7" t="str">
        <x:v>C12 C13</x:v>
      </x:c>
      <x:c r="I128" s="7" t="str">
        <x:v>API033 API035 API064 API065 API068 API069</x:v>
      </x:c>
      <x:c r="J128" s="7" t="str">
        <x:v>WP11</x:v>
      </x:c>
      <x:c r="K128" s="7" t="str">
        <x:v>TC-BR-OPS-05-A TC-BR-OPS-05-B</x:v>
      </x:c>
      <x:c r="L128" s="7" t="str">
        <x:v>Specified</x:v>
      </x:c>
      <x:c r="M128" s="10" t="str">
        <x:v>Not implemented</x:v>
      </x:c>
      <x:c r="N128" s="10" t="str">
        <x:v>Not run</x:v>
      </x:c>
    </x:row>
    <x:row r="129" ht="30" customHeight="1">
      <x:c r="A129" s="8" t="str">
        <x:v>BR-OPS-06</x:v>
      </x:c>
      <x:c r="B129" s="8" t="str">
        <x:v>Training and competency</x:v>
      </x:c>
      <x:c r="C129" s="8" t="str">
        <x:v>Must</x:v>
      </x:c>
      <x:c r="D129" s="8" t="str">
        <x:v>R1</x:v>
      </x:c>
      <x:c r="E129" s="8" t="str">
        <x:v>FR-OPS-06</x:v>
      </x:c>
      <x:c r="F129" s="8" t="str">
        <x:v>FSD OPS</x:v>
      </x:c>
      <x:c r="G129" s="8" t="str">
        <x:v>SCR16 SCR18 SCR20 SCR22</x:v>
      </x:c>
      <x:c r="H129" s="8" t="str">
        <x:v>C12 C13</x:v>
      </x:c>
      <x:c r="I129" s="8" t="str">
        <x:v>API033 API035 API064 API065 API068 API069</x:v>
      </x:c>
      <x:c r="J129" s="8" t="str">
        <x:v>WP11</x:v>
      </x:c>
      <x:c r="K129" s="8" t="str">
        <x:v>TC-BR-OPS-06-A TC-BR-OPS-06-B</x:v>
      </x:c>
      <x:c r="L129" s="8" t="str">
        <x:v>Specified</x:v>
      </x:c>
      <x:c r="M129" s="10" t="str">
        <x:v>Not implemented</x:v>
      </x:c>
      <x:c r="N129" s="10" t="str">
        <x:v>Not run</x:v>
      </x:c>
    </x:row>
    <x:row r="130" ht="30" customHeight="1">
      <x:c r="A130" s="7" t="str">
        <x:v>BR-OPS-07</x:v>
      </x:c>
      <x:c r="B130" s="7" t="str">
        <x:v>Data exit and continuity</x:v>
      </x:c>
      <x:c r="C130" s="7" t="str">
        <x:v>Must</x:v>
      </x:c>
      <x:c r="D130" s="7" t="str">
        <x:v>R1</x:v>
      </x:c>
      <x:c r="E130" s="7" t="str">
        <x:v>FR-OPS-07</x:v>
      </x:c>
      <x:c r="F130" s="7" t="str">
        <x:v>FSD OPS</x:v>
      </x:c>
      <x:c r="G130" s="7" t="str">
        <x:v>SCR16 SCR18 SCR20 SCR22</x:v>
      </x:c>
      <x:c r="H130" s="7" t="str">
        <x:v>C12 C13</x:v>
      </x:c>
      <x:c r="I130" s="7" t="str">
        <x:v>API033 API035 API064 API065 API068 API069</x:v>
      </x:c>
      <x:c r="J130" s="7" t="str">
        <x:v>WP11</x:v>
      </x:c>
      <x:c r="K130" s="7" t="str">
        <x:v>TC-BR-OPS-07-A TC-BR-OPS-07-B</x:v>
      </x:c>
      <x:c r="L130" s="7" t="str">
        <x:v>Specified</x:v>
      </x:c>
      <x:c r="M130" s="10" t="str">
        <x:v>Not implemented</x:v>
      </x:c>
      <x:c r="N130" s="10" t="str">
        <x:v>Not run</x:v>
      </x:c>
    </x:row>
    <x:row r="131" ht="30" customHeight="1">
      <x:c r="A131" s="8" t="str">
        <x:v>BR-OPS-08</x:v>
      </x:c>
      <x:c r="B131" s="8" t="str">
        <x:v>Repeatable deployment packaging</x:v>
      </x:c>
      <x:c r="C131" s="8" t="str">
        <x:v>Should</x:v>
      </x:c>
      <x:c r="D131" s="8" t="str">
        <x:v>R2</x:v>
      </x:c>
      <x:c r="E131" s="8" t="str">
        <x:v>FR-OPS-08</x:v>
      </x:c>
      <x:c r="F131" s="8" t="str">
        <x:v>FSD OPS</x:v>
      </x:c>
      <x:c r="G131" s="8" t="str">
        <x:v>SCR16 SCR18 SCR20 SCR22</x:v>
      </x:c>
      <x:c r="H131" s="8" t="str">
        <x:v>C12 C13</x:v>
      </x:c>
      <x:c r="I131" s="8" t="str">
        <x:v>API033 API035 API064 API065 API068 API069</x:v>
      </x:c>
      <x:c r="J131" s="8" t="str">
        <x:v>WP11</x:v>
      </x:c>
      <x:c r="K131" s="8" t="str">
        <x:v>TC-BR-OPS-08-A TC-BR-OPS-08-B</x:v>
      </x:c>
      <x:c r="L131" s="8" t="str">
        <x:v>Specified</x:v>
      </x:c>
      <x:c r="M131" s="10" t="str">
        <x:v>Not implemented</x:v>
      </x:c>
      <x:c r="N131" s="10" t="str">
        <x:v>Not run</x:v>
      </x:c>
    </x:row>
    <x:row r="132" ht="30" customHeight="1">
      <x:c r="A132" s="7" t="str">
        <x:v>BR-SEC-01</x:v>
      </x:c>
      <x:c r="B132" s="7" t="str">
        <x:v>Purpose and lawful authority</x:v>
      </x:c>
      <x:c r="C132" s="7" t="str">
        <x:v>Must</x:v>
      </x:c>
      <x:c r="D132" s="7" t="str">
        <x:v>R1</x:v>
      </x:c>
      <x:c r="E132" s="7" t="str">
        <x:v>FR-SEC-01</x:v>
      </x:c>
      <x:c r="F132" s="7" t="str">
        <x:v>FSD SEC</x:v>
      </x:c>
      <x:c r="G132" s="7" t="str">
        <x:v>SCR11 SCR16 SCR17 SCR21 SCR22</x:v>
      </x:c>
      <x:c r="H132" s="7" t="str">
        <x:v>C02 C13 C14</x:v>
      </x:c>
      <x:c r="I132" s="7" t="str">
        <x:v>API009 API010 API044 API045</x:v>
      </x:c>
      <x:c r="J132" s="7" t="str">
        <x:v>WP02</x:v>
      </x:c>
      <x:c r="K132" s="7" t="str">
        <x:v>TC-BR-SEC-01-A TC-BR-SEC-01-B</x:v>
      </x:c>
      <x:c r="L132" s="7" t="str">
        <x:v>Specified</x:v>
      </x:c>
      <x:c r="M132" s="10" t="str">
        <x:v>Not implemented</x:v>
      </x:c>
      <x:c r="N132" s="10" t="str">
        <x:v>Not run</x:v>
      </x:c>
    </x:row>
    <x:row r="133" ht="30" customHeight="1">
      <x:c r="A133" s="8" t="str">
        <x:v>BR-SEC-02</x:v>
      </x:c>
      <x:c r="B133" s="8" t="str">
        <x:v>Understandable notice and consent</x:v>
      </x:c>
      <x:c r="C133" s="8" t="str">
        <x:v>Must</x:v>
      </x:c>
      <x:c r="D133" s="8" t="str">
        <x:v>R1</x:v>
      </x:c>
      <x:c r="E133" s="8" t="str">
        <x:v>FR-SEC-02</x:v>
      </x:c>
      <x:c r="F133" s="8" t="str">
        <x:v>FSD SEC</x:v>
      </x:c>
      <x:c r="G133" s="8" t="str">
        <x:v>SCR11 SCR16 SCR17 SCR21 SCR22</x:v>
      </x:c>
      <x:c r="H133" s="8" t="str">
        <x:v>C02 C13 C14</x:v>
      </x:c>
      <x:c r="I133" s="8" t="str">
        <x:v>API009 API010 API044 API045</x:v>
      </x:c>
      <x:c r="J133" s="8" t="str">
        <x:v>WP02</x:v>
      </x:c>
      <x:c r="K133" s="8" t="str">
        <x:v>TC-BR-SEC-02-A TC-BR-SEC-02-B</x:v>
      </x:c>
      <x:c r="L133" s="8" t="str">
        <x:v>Specified</x:v>
      </x:c>
      <x:c r="M133" s="10" t="str">
        <x:v>Not implemented</x:v>
      </x:c>
      <x:c r="N133" s="10" t="str">
        <x:v>Not run</x:v>
      </x:c>
    </x:row>
    <x:row r="134" ht="30" customHeight="1">
      <x:c r="A134" s="7" t="str">
        <x:v>BR-SEC-03</x:v>
      </x:c>
      <x:c r="B134" s="7" t="str">
        <x:v>Withdrawal and downstream effects</x:v>
      </x:c>
      <x:c r="C134" s="7" t="str">
        <x:v>Must</x:v>
      </x:c>
      <x:c r="D134" s="7" t="str">
        <x:v>R1</x:v>
      </x:c>
      <x:c r="E134" s="7" t="str">
        <x:v>FR-SEC-03</x:v>
      </x:c>
      <x:c r="F134" s="7" t="str">
        <x:v>FSD SEC</x:v>
      </x:c>
      <x:c r="G134" s="7" t="str">
        <x:v>SCR11 SCR16 SCR17 SCR21 SCR22</x:v>
      </x:c>
      <x:c r="H134" s="7" t="str">
        <x:v>C02 C13 C14</x:v>
      </x:c>
      <x:c r="I134" s="7" t="str">
        <x:v>API009 API010 API044 API045</x:v>
      </x:c>
      <x:c r="J134" s="7" t="str">
        <x:v>WP02</x:v>
      </x:c>
      <x:c r="K134" s="7" t="str">
        <x:v>TC-BR-SEC-03-A TC-BR-SEC-03-B</x:v>
      </x:c>
      <x:c r="L134" s="7" t="str">
        <x:v>Specified</x:v>
      </x:c>
      <x:c r="M134" s="10" t="str">
        <x:v>Not implemented</x:v>
      </x:c>
      <x:c r="N134" s="10" t="str">
        <x:v>Not run</x:v>
      </x:c>
    </x:row>
    <x:row r="135" ht="30" customHeight="1">
      <x:c r="A135" s="8" t="str">
        <x:v>BR-SEC-04</x:v>
      </x:c>
      <x:c r="B135" s="8" t="str">
        <x:v>Sensitive data and proxy handling</x:v>
      </x:c>
      <x:c r="C135" s="8" t="str">
        <x:v>Must</x:v>
      </x:c>
      <x:c r="D135" s="8" t="str">
        <x:v>R1</x:v>
      </x:c>
      <x:c r="E135" s="8" t="str">
        <x:v>FR-SEC-04</x:v>
      </x:c>
      <x:c r="F135" s="8" t="str">
        <x:v>FSD SEC</x:v>
      </x:c>
      <x:c r="G135" s="8" t="str">
        <x:v>SCR11 SCR16 SCR17 SCR21 SCR22</x:v>
      </x:c>
      <x:c r="H135" s="8" t="str">
        <x:v>C02 C13 C14</x:v>
      </x:c>
      <x:c r="I135" s="8" t="str">
        <x:v>API009 API010 API044 API045</x:v>
      </x:c>
      <x:c r="J135" s="8" t="str">
        <x:v>WP02</x:v>
      </x:c>
      <x:c r="K135" s="8" t="str">
        <x:v>TC-BR-SEC-04-A TC-BR-SEC-04-B</x:v>
      </x:c>
      <x:c r="L135" s="8" t="str">
        <x:v>Specified</x:v>
      </x:c>
      <x:c r="M135" s="10" t="str">
        <x:v>Not implemented</x:v>
      </x:c>
      <x:c r="N135" s="10" t="str">
        <x:v>Not run</x:v>
      </x:c>
    </x:row>
    <x:row r="136" ht="30" customHeight="1">
      <x:c r="A136" s="7" t="str">
        <x:v>BR-SEC-05</x:v>
      </x:c>
      <x:c r="B136" s="7" t="str">
        <x:v>Encryption and secrets</x:v>
      </x:c>
      <x:c r="C136" s="7" t="str">
        <x:v>Must</x:v>
      </x:c>
      <x:c r="D136" s="7" t="str">
        <x:v>R1</x:v>
      </x:c>
      <x:c r="E136" s="7" t="str">
        <x:v>FR-SEC-05</x:v>
      </x:c>
      <x:c r="F136" s="7" t="str">
        <x:v>FSD SEC</x:v>
      </x:c>
      <x:c r="G136" s="7" t="str">
        <x:v>SCR11 SCR16 SCR17 SCR21 SCR22</x:v>
      </x:c>
      <x:c r="H136" s="7" t="str">
        <x:v>C02 C13 C14</x:v>
      </x:c>
      <x:c r="I136" s="7" t="str">
        <x:v>API009 API010 API044 API045</x:v>
      </x:c>
      <x:c r="J136" s="7" t="str">
        <x:v>WP02</x:v>
      </x:c>
      <x:c r="K136" s="7" t="str">
        <x:v>TC-BR-SEC-05-A TC-BR-SEC-05-B</x:v>
      </x:c>
      <x:c r="L136" s="7" t="str">
        <x:v>Specified</x:v>
      </x:c>
      <x:c r="M136" s="10" t="str">
        <x:v>Not implemented</x:v>
      </x:c>
      <x:c r="N136" s="10" t="str">
        <x:v>Not run</x:v>
      </x:c>
    </x:row>
    <x:row r="137" ht="30" customHeight="1">
      <x:c r="A137" s="8" t="str">
        <x:v>BR-SEC-06</x:v>
      </x:c>
      <x:c r="B137" s="8" t="str">
        <x:v>Tenant and record isolation</x:v>
      </x:c>
      <x:c r="C137" s="8" t="str">
        <x:v>Must</x:v>
      </x:c>
      <x:c r="D137" s="8" t="str">
        <x:v>R1</x:v>
      </x:c>
      <x:c r="E137" s="8" t="str">
        <x:v>FR-SEC-06</x:v>
      </x:c>
      <x:c r="F137" s="8" t="str">
        <x:v>FSD SEC</x:v>
      </x:c>
      <x:c r="G137" s="8" t="str">
        <x:v>SCR11 SCR16 SCR17 SCR21 SCR22</x:v>
      </x:c>
      <x:c r="H137" s="8" t="str">
        <x:v>C02 C13 C14</x:v>
      </x:c>
      <x:c r="I137" s="8" t="str">
        <x:v>API009 API010 API044 API045</x:v>
      </x:c>
      <x:c r="J137" s="8" t="str">
        <x:v>WP02</x:v>
      </x:c>
      <x:c r="K137" s="8" t="str">
        <x:v>TC-BR-SEC-06-A TC-BR-SEC-06-B</x:v>
      </x:c>
      <x:c r="L137" s="8" t="str">
        <x:v>Specified</x:v>
      </x:c>
      <x:c r="M137" s="10" t="str">
        <x:v>Not implemented</x:v>
      </x:c>
      <x:c r="N137" s="10" t="str">
        <x:v>Not run</x:v>
      </x:c>
    </x:row>
    <x:row r="138" ht="30" customHeight="1">
      <x:c r="A138" s="7" t="str">
        <x:v>BR-SEC-07</x:v>
      </x:c>
      <x:c r="B138" s="7" t="str">
        <x:v>Safe logs and analytics</x:v>
      </x:c>
      <x:c r="C138" s="7" t="str">
        <x:v>Must</x:v>
      </x:c>
      <x:c r="D138" s="7" t="str">
        <x:v>R1</x:v>
      </x:c>
      <x:c r="E138" s="7" t="str">
        <x:v>FR-SEC-07</x:v>
      </x:c>
      <x:c r="F138" s="7" t="str">
        <x:v>FSD SEC</x:v>
      </x:c>
      <x:c r="G138" s="7" t="str">
        <x:v>SCR11 SCR16 SCR17 SCR21 SCR22</x:v>
      </x:c>
      <x:c r="H138" s="7" t="str">
        <x:v>C02 C13 C14</x:v>
      </x:c>
      <x:c r="I138" s="7" t="str">
        <x:v>API009 API010 API044 API045</x:v>
      </x:c>
      <x:c r="J138" s="7" t="str">
        <x:v>WP02</x:v>
      </x:c>
      <x:c r="K138" s="7" t="str">
        <x:v>TC-BR-SEC-07-A TC-BR-SEC-07-B</x:v>
      </x:c>
      <x:c r="L138" s="7" t="str">
        <x:v>Specified</x:v>
      </x:c>
      <x:c r="M138" s="10" t="str">
        <x:v>Not implemented</x:v>
      </x:c>
      <x:c r="N138" s="10" t="str">
        <x:v>Not run</x:v>
      </x:c>
    </x:row>
    <x:row r="139" ht="30" customHeight="1">
      <x:c r="A139" s="8" t="str">
        <x:v>BR-SEC-08</x:v>
      </x:c>
      <x:c r="B139" s="8" t="str">
        <x:v>Audit evidence</x:v>
      </x:c>
      <x:c r="C139" s="8" t="str">
        <x:v>Must</x:v>
      </x:c>
      <x:c r="D139" s="8" t="str">
        <x:v>R1</x:v>
      </x:c>
      <x:c r="E139" s="8" t="str">
        <x:v>FR-SEC-08</x:v>
      </x:c>
      <x:c r="F139" s="8" t="str">
        <x:v>FSD SEC</x:v>
      </x:c>
      <x:c r="G139" s="8" t="str">
        <x:v>SCR11 SCR16 SCR17 SCR21 SCR22</x:v>
      </x:c>
      <x:c r="H139" s="8" t="str">
        <x:v>C02 C13 C14</x:v>
      </x:c>
      <x:c r="I139" s="8" t="str">
        <x:v>API009 API010 API044 API045</x:v>
      </x:c>
      <x:c r="J139" s="8" t="str">
        <x:v>WP02</x:v>
      </x:c>
      <x:c r="K139" s="8" t="str">
        <x:v>TC-BR-SEC-08-A TC-BR-SEC-08-B</x:v>
      </x:c>
      <x:c r="L139" s="8" t="str">
        <x:v>Specified</x:v>
      </x:c>
      <x:c r="M139" s="10" t="str">
        <x:v>Not implemented</x:v>
      </x:c>
      <x:c r="N139" s="10" t="str">
        <x:v>Not run</x:v>
      </x:c>
    </x:row>
    <x:row r="140" ht="30" customHeight="1">
      <x:c r="A140" s="7" t="str">
        <x:v>BR-SEC-09</x:v>
      </x:c>
      <x:c r="B140" s="7" t="str">
        <x:v>Controlled retention and disposal</x:v>
      </x:c>
      <x:c r="C140" s="7" t="str">
        <x:v>Must</x:v>
      </x:c>
      <x:c r="D140" s="7" t="str">
        <x:v>R1</x:v>
      </x:c>
      <x:c r="E140" s="7" t="str">
        <x:v>FR-SEC-09</x:v>
      </x:c>
      <x:c r="F140" s="7" t="str">
        <x:v>FSD SEC</x:v>
      </x:c>
      <x:c r="G140" s="7" t="str">
        <x:v>SCR11 SCR16 SCR17 SCR21 SCR22</x:v>
      </x:c>
      <x:c r="H140" s="7" t="str">
        <x:v>C02 C13 C14</x:v>
      </x:c>
      <x:c r="I140" s="7" t="str">
        <x:v>API009 API010 API044 API045</x:v>
      </x:c>
      <x:c r="J140" s="7" t="str">
        <x:v>WP02</x:v>
      </x:c>
      <x:c r="K140" s="7" t="str">
        <x:v>TC-BR-SEC-09-A TC-BR-SEC-09-B</x:v>
      </x:c>
      <x:c r="L140" s="7" t="str">
        <x:v>Specified</x:v>
      </x:c>
      <x:c r="M140" s="10" t="str">
        <x:v>Not implemented</x:v>
      </x:c>
      <x:c r="N140" s="10" t="str">
        <x:v>Not run</x:v>
      </x:c>
    </x:row>
    <x:row r="141" ht="30" customHeight="1">
      <x:c r="A141" s="8" t="str">
        <x:v>BR-SEC-10</x:v>
      </x:c>
      <x:c r="B141" s="8" t="str">
        <x:v>Rights and correction workflow</x:v>
      </x:c>
      <x:c r="C141" s="8" t="str">
        <x:v>Must</x:v>
      </x:c>
      <x:c r="D141" s="8" t="str">
        <x:v>R1</x:v>
      </x:c>
      <x:c r="E141" s="8" t="str">
        <x:v>FR-SEC-10</x:v>
      </x:c>
      <x:c r="F141" s="8" t="str">
        <x:v>FSD SEC</x:v>
      </x:c>
      <x:c r="G141" s="8" t="str">
        <x:v>SCR11 SCR16 SCR17 SCR21 SCR22</x:v>
      </x:c>
      <x:c r="H141" s="8" t="str">
        <x:v>C02 C13 C14</x:v>
      </x:c>
      <x:c r="I141" s="8" t="str">
        <x:v>API009 API010 API044 API045</x:v>
      </x:c>
      <x:c r="J141" s="8" t="str">
        <x:v>WP02</x:v>
      </x:c>
      <x:c r="K141" s="8" t="str">
        <x:v>TC-BR-SEC-10-A TC-BR-SEC-10-B</x:v>
      </x:c>
      <x:c r="L141" s="8" t="str">
        <x:v>Specified</x:v>
      </x:c>
      <x:c r="M141" s="10" t="str">
        <x:v>Not implemented</x:v>
      </x:c>
      <x:c r="N141" s="10" t="str">
        <x:v>Not run</x:v>
      </x:c>
    </x:row>
    <x:row r="142" ht="30" customHeight="1">
      <x:c r="A142" s="7" t="str">
        <x:v>BR-SEC-11</x:v>
      </x:c>
      <x:c r="B142" s="7" t="str">
        <x:v>Emergency and support access</x:v>
      </x:c>
      <x:c r="C142" s="7" t="str">
        <x:v>Must</x:v>
      </x:c>
      <x:c r="D142" s="7" t="str">
        <x:v>R1</x:v>
      </x:c>
      <x:c r="E142" s="7" t="str">
        <x:v>FR-SEC-11</x:v>
      </x:c>
      <x:c r="F142" s="7" t="str">
        <x:v>FSD SEC</x:v>
      </x:c>
      <x:c r="G142" s="7" t="str">
        <x:v>SCR11 SCR16 SCR17 SCR21 SCR22</x:v>
      </x:c>
      <x:c r="H142" s="7" t="str">
        <x:v>C02 C13 C14</x:v>
      </x:c>
      <x:c r="I142" s="7" t="str">
        <x:v>API009 API010 API044 API045</x:v>
      </x:c>
      <x:c r="J142" s="7" t="str">
        <x:v>WP02</x:v>
      </x:c>
      <x:c r="K142" s="7" t="str">
        <x:v>TC-BR-SEC-11-A TC-BR-SEC-11-B</x:v>
      </x:c>
      <x:c r="L142" s="7" t="str">
        <x:v>Specified</x:v>
      </x:c>
      <x:c r="M142" s="10" t="str">
        <x:v>Not implemented</x:v>
      </x:c>
      <x:c r="N142" s="10" t="str">
        <x:v>Not run</x:v>
      </x:c>
    </x:row>
    <x:row r="143" ht="30" customHeight="1">
      <x:c r="A143" s="8" t="str">
        <x:v>BR-SEC-12</x:v>
      </x:c>
      <x:c r="B143" s="8" t="str">
        <x:v>Provider and supply-chain assurance</x:v>
      </x:c>
      <x:c r="C143" s="8" t="str">
        <x:v>Must</x:v>
      </x:c>
      <x:c r="D143" s="8" t="str">
        <x:v>R1</x:v>
      </x:c>
      <x:c r="E143" s="8" t="str">
        <x:v>FR-SEC-12</x:v>
      </x:c>
      <x:c r="F143" s="8" t="str">
        <x:v>FSD SEC</x:v>
      </x:c>
      <x:c r="G143" s="8" t="str">
        <x:v>SCR11 SCR16 SCR17 SCR21 SCR22</x:v>
      </x:c>
      <x:c r="H143" s="8" t="str">
        <x:v>C02 C13 C14</x:v>
      </x:c>
      <x:c r="I143" s="8" t="str">
        <x:v>API009 API010 API044 API045</x:v>
      </x:c>
      <x:c r="J143" s="8" t="str">
        <x:v>WP02</x:v>
      </x:c>
      <x:c r="K143" s="8" t="str">
        <x:v>TC-BR-SEC-12-A TC-BR-SEC-12-B</x:v>
      </x:c>
      <x:c r="L143" s="8" t="str">
        <x:v>Specified</x:v>
      </x:c>
      <x:c r="M143" s="10" t="str">
        <x:v>Not implemented</x:v>
      </x:c>
      <x:c r="N143" s="10" t="str">
        <x:v>Not run</x:v>
      </x:c>
    </x:row>
    <x:row r="144" ht="30" customHeight="1">
      <x:c r="A144" s="7" t="str">
        <x:v>BR-SEC-13</x:v>
      </x:c>
      <x:c r="B144" s="7" t="str">
        <x:v>Incident response</x:v>
      </x:c>
      <x:c r="C144" s="7" t="str">
        <x:v>Must</x:v>
      </x:c>
      <x:c r="D144" s="7" t="str">
        <x:v>R1</x:v>
      </x:c>
      <x:c r="E144" s="7" t="str">
        <x:v>FR-SEC-13</x:v>
      </x:c>
      <x:c r="F144" s="7" t="str">
        <x:v>FSD SEC</x:v>
      </x:c>
      <x:c r="G144" s="7" t="str">
        <x:v>SCR11 SCR16 SCR17 SCR21 SCR22</x:v>
      </x:c>
      <x:c r="H144" s="7" t="str">
        <x:v>C02 C13 C14</x:v>
      </x:c>
      <x:c r="I144" s="7" t="str">
        <x:v>API009 API010 API044 API045</x:v>
      </x:c>
      <x:c r="J144" s="7" t="str">
        <x:v>WP02</x:v>
      </x:c>
      <x:c r="K144" s="7" t="str">
        <x:v>TC-BR-SEC-13-A TC-BR-SEC-13-B</x:v>
      </x:c>
      <x:c r="L144" s="7" t="str">
        <x:v>Specified</x:v>
      </x:c>
      <x:c r="M144" s="10" t="str">
        <x:v>Not implemented</x:v>
      </x:c>
      <x:c r="N144" s="10" t="str">
        <x:v>Not run</x:v>
      </x:c>
    </x:row>
    <x:row r="145" ht="30" customHeight="1">
      <x:c r="A145" s="8" t="str">
        <x:v>BR-SEC-14</x:v>
      </x:c>
      <x:c r="B145" s="8" t="str">
        <x:v>Hosting and cross-border controls</x:v>
      </x:c>
      <x:c r="C145" s="8" t="str">
        <x:v>Must</x:v>
      </x:c>
      <x:c r="D145" s="8" t="str">
        <x:v>R1</x:v>
      </x:c>
      <x:c r="E145" s="8" t="str">
        <x:v>FR-SEC-14</x:v>
      </x:c>
      <x:c r="F145" s="8" t="str">
        <x:v>FSD SEC</x:v>
      </x:c>
      <x:c r="G145" s="8" t="str">
        <x:v>SCR11 SCR16 SCR17 SCR21 SCR22</x:v>
      </x:c>
      <x:c r="H145" s="8" t="str">
        <x:v>C02 C13 C14</x:v>
      </x:c>
      <x:c r="I145" s="8" t="str">
        <x:v>API009 API010 API044 API045</x:v>
      </x:c>
      <x:c r="J145" s="8" t="str">
        <x:v>WP02</x:v>
      </x:c>
      <x:c r="K145" s="8" t="str">
        <x:v>TC-BR-SEC-14-A TC-BR-SEC-14-B</x:v>
      </x:c>
      <x:c r="L145" s="8" t="str">
        <x:v>Specified</x:v>
      </x:c>
      <x:c r="M145" s="10" t="str">
        <x:v>Not implemented</x:v>
      </x:c>
      <x:c r="N145" s="10" t="str">
        <x:v>Not run</x:v>
      </x:c>
    </x:row>
    <x:row r="146" ht="30" customHeight="1">
      <x:c r="A146" s="7" t="str">
        <x:v>BR-RULE-01</x:v>
      </x:c>
      <x:c r="B146" s="7" t="str">
        <x:v>No invented facts</x:v>
      </x:c>
      <x:c r="C146" s="7" t="str">
        <x:v>Must</x:v>
      </x:c>
      <x:c r="D146" s="7" t="str">
        <x:v>R1</x:v>
      </x:c>
      <x:c r="E146" s="7" t="str">
        <x:v>FR-RULE-01</x:v>
      </x:c>
      <x:c r="F146" s="7" t="str">
        <x:v>FSD RULE</x:v>
      </x:c>
      <x:c r="G146" s="7" t="str">
        <x:v>SCR02 SCR05 SCR06 SCR07 SCR11</x:v>
      </x:c>
      <x:c r="H146" s="7" t="str">
        <x:v>C03 C05 C13</x:v>
      </x:c>
      <x:c r="I146" s="7" t="str">
        <x:v>Cross-cutting control</x:v>
      </x:c>
      <x:c r="J146" s="7" t="str">
        <x:v>WP02</x:v>
      </x:c>
      <x:c r="K146" s="7" t="str">
        <x:v>TC-BR-RULE-01-A TC-BR-RULE-01-B</x:v>
      </x:c>
      <x:c r="L146" s="7" t="str">
        <x:v>Specified</x:v>
      </x:c>
      <x:c r="M146" s="10" t="str">
        <x:v>Not implemented</x:v>
      </x:c>
      <x:c r="N146" s="10" t="str">
        <x:v>Not run</x:v>
      </x:c>
    </x:row>
    <x:row r="147" ht="30" customHeight="1">
      <x:c r="A147" s="8" t="str">
        <x:v>BR-RULE-02</x:v>
      </x:c>
      <x:c r="B147" s="8" t="str">
        <x:v>Patient confirmation before commitment</x:v>
      </x:c>
      <x:c r="C147" s="8" t="str">
        <x:v>Must</x:v>
      </x:c>
      <x:c r="D147" s="8" t="str">
        <x:v>R1</x:v>
      </x:c>
      <x:c r="E147" s="8" t="str">
        <x:v>FR-RULE-02</x:v>
      </x:c>
      <x:c r="F147" s="8" t="str">
        <x:v>FSD RULE</x:v>
      </x:c>
      <x:c r="G147" s="8" t="str">
        <x:v>SCR02 SCR05 SCR06 SCR07 SCR11</x:v>
      </x:c>
      <x:c r="H147" s="8" t="str">
        <x:v>C03 C05 C13</x:v>
      </x:c>
      <x:c r="I147" s="8" t="str">
        <x:v>Cross-cutting control</x:v>
      </x:c>
      <x:c r="J147" s="8" t="str">
        <x:v>WP02</x:v>
      </x:c>
      <x:c r="K147" s="8" t="str">
        <x:v>TC-BR-RULE-02-A TC-BR-RULE-02-B</x:v>
      </x:c>
      <x:c r="L147" s="8" t="str">
        <x:v>Specified</x:v>
      </x:c>
      <x:c r="M147" s="10" t="str">
        <x:v>Not implemented</x:v>
      </x:c>
      <x:c r="N147" s="10" t="str">
        <x:v>Not run</x:v>
      </x:c>
    </x:row>
    <x:row r="148" ht="30" customHeight="1">
      <x:c r="A148" s="7" t="str">
        <x:v>BR-RULE-03</x:v>
      </x:c>
      <x:c r="B148" s="7" t="str">
        <x:v>Review depends on unchanged evidence</x:v>
      </x:c>
      <x:c r="C148" s="7" t="str">
        <x:v>Must</x:v>
      </x:c>
      <x:c r="D148" s="7" t="str">
        <x:v>R1</x:v>
      </x:c>
      <x:c r="E148" s="7" t="str">
        <x:v>FR-RULE-03</x:v>
      </x:c>
      <x:c r="F148" s="7" t="str">
        <x:v>FSD RULE</x:v>
      </x:c>
      <x:c r="G148" s="7" t="str">
        <x:v>SCR02 SCR05 SCR06 SCR07 SCR11</x:v>
      </x:c>
      <x:c r="H148" s="7" t="str">
        <x:v>C03 C05 C13</x:v>
      </x:c>
      <x:c r="I148" s="7" t="str">
        <x:v>Cross-cutting control</x:v>
      </x:c>
      <x:c r="J148" s="7" t="str">
        <x:v>WP02</x:v>
      </x:c>
      <x:c r="K148" s="7" t="str">
        <x:v>TC-BR-RULE-03-A TC-BR-RULE-03-B</x:v>
      </x:c>
      <x:c r="L148" s="7" t="str">
        <x:v>Specified</x:v>
      </x:c>
      <x:c r="M148" s="10" t="str">
        <x:v>Not implemented</x:v>
      </x:c>
      <x:c r="N148" s="10" t="str">
        <x:v>Not run</x:v>
      </x:c>
    </x:row>
    <x:row r="149" ht="30" customHeight="1">
      <x:c r="A149" s="8" t="str">
        <x:v>BR-RULE-04</x:v>
      </x:c>
      <x:c r="B149" s="8" t="str">
        <x:v>Honest completion and cancellation</x:v>
      </x:c>
      <x:c r="C149" s="8" t="str">
        <x:v>Must</x:v>
      </x:c>
      <x:c r="D149" s="8" t="str">
        <x:v>R1</x:v>
      </x:c>
      <x:c r="E149" s="8" t="str">
        <x:v>FR-RULE-04</x:v>
      </x:c>
      <x:c r="F149" s="8" t="str">
        <x:v>FSD RULE</x:v>
      </x:c>
      <x:c r="G149" s="8" t="str">
        <x:v>SCR02 SCR05 SCR06 SCR07 SCR11</x:v>
      </x:c>
      <x:c r="H149" s="8" t="str">
        <x:v>C03 C05 C13</x:v>
      </x:c>
      <x:c r="I149" s="8" t="str">
        <x:v>Cross-cutting control</x:v>
      </x:c>
      <x:c r="J149" s="8" t="str">
        <x:v>WP02</x:v>
      </x:c>
      <x:c r="K149" s="8" t="str">
        <x:v>TC-BR-RULE-04-A TC-BR-RULE-04-B</x:v>
      </x:c>
      <x:c r="L149" s="8" t="str">
        <x:v>Specified</x:v>
      </x:c>
      <x:c r="M149" s="10" t="str">
        <x:v>Not implemented</x:v>
      </x:c>
      <x:c r="N149" s="10" t="str">
        <x:v>Not run</x:v>
      </x:c>
    </x:row>
    <x:row r="150" ht="30" customHeight="1">
      <x:c r="A150" s="7" t="str">
        <x:v>BR-RULE-05</x:v>
      </x:c>
      <x:c r="B150" s="7" t="str">
        <x:v>No false model equivalence</x:v>
      </x:c>
      <x:c r="C150" s="7" t="str">
        <x:v>Must</x:v>
      </x:c>
      <x:c r="D150" s="7" t="str">
        <x:v>R1</x:v>
      </x:c>
      <x:c r="E150" s="7" t="str">
        <x:v>FR-RULE-05</x:v>
      </x:c>
      <x:c r="F150" s="7" t="str">
        <x:v>FSD RULE</x:v>
      </x:c>
      <x:c r="G150" s="7" t="str">
        <x:v>SCR02 SCR05 SCR06 SCR07 SCR11</x:v>
      </x:c>
      <x:c r="H150" s="7" t="str">
        <x:v>C03 C05 C13</x:v>
      </x:c>
      <x:c r="I150" s="7" t="str">
        <x:v>Cross-cutting control</x:v>
      </x:c>
      <x:c r="J150" s="7" t="str">
        <x:v>WP02</x:v>
      </x:c>
      <x:c r="K150" s="7" t="str">
        <x:v>TC-BR-RULE-05-A TC-BR-RULE-05-B</x:v>
      </x:c>
      <x:c r="L150" s="7" t="str">
        <x:v>Specified</x:v>
      </x:c>
      <x:c r="M150" s="10" t="str">
        <x:v>Not implemented</x:v>
      </x:c>
      <x:c r="N150" s="10" t="str">
        <x:v>Not run</x:v>
      </x:c>
    </x:row>
    <x:row r="151" ht="30" customHeight="1">
      <x:c r="A151" s="8" t="str">
        <x:v>BR-RULE-06</x:v>
      </x:c>
      <x:c r="B151" s="8" t="str">
        <x:v>Rechecks at execution time</x:v>
      </x:c>
      <x:c r="C151" s="8" t="str">
        <x:v>Must</x:v>
      </x:c>
      <x:c r="D151" s="8" t="str">
        <x:v>R1</x:v>
      </x:c>
      <x:c r="E151" s="8" t="str">
        <x:v>FR-RULE-06</x:v>
      </x:c>
      <x:c r="F151" s="8" t="str">
        <x:v>FSD RULE</x:v>
      </x:c>
      <x:c r="G151" s="8" t="str">
        <x:v>SCR02 SCR05 SCR06 SCR07 SCR11</x:v>
      </x:c>
      <x:c r="H151" s="8" t="str">
        <x:v>C03 C05 C13</x:v>
      </x:c>
      <x:c r="I151" s="8" t="str">
        <x:v>Cross-cutting control</x:v>
      </x:c>
      <x:c r="J151" s="8" t="str">
        <x:v>WP02</x:v>
      </x:c>
      <x:c r="K151" s="8" t="str">
        <x:v>TC-BR-RULE-06-A TC-BR-RULE-06-B</x:v>
      </x:c>
      <x:c r="L151" s="8" t="str">
        <x:v>Specified</x:v>
      </x:c>
      <x:c r="M151" s="10" t="str">
        <x:v>Not implemented</x:v>
      </x:c>
      <x:c r="N151" s="10" t="str">
        <x:v>Not run</x:v>
      </x:c>
    </x:row>
    <x:row r="152" ht="30" customHeight="1">
      <x:c r="A152" s="7" t="str">
        <x:v>BR-RULE-07</x:v>
      </x:c>
      <x:c r="B152" s="7" t="str">
        <x:v>No experimental output in care</x:v>
      </x:c>
      <x:c r="C152" s="7" t="str">
        <x:v>Must</x:v>
      </x:c>
      <x:c r="D152" s="7" t="str">
        <x:v>R1</x:v>
      </x:c>
      <x:c r="E152" s="7" t="str">
        <x:v>FR-RULE-07</x:v>
      </x:c>
      <x:c r="F152" s="7" t="str">
        <x:v>FSD RULE</x:v>
      </x:c>
      <x:c r="G152" s="7" t="str">
        <x:v>SCR02 SCR05 SCR06 SCR07 SCR11</x:v>
      </x:c>
      <x:c r="H152" s="7" t="str">
        <x:v>C03 C05 C13</x:v>
      </x:c>
      <x:c r="I152" s="7" t="str">
        <x:v>Cross-cutting control</x:v>
      </x:c>
      <x:c r="J152" s="7" t="str">
        <x:v>WP02</x:v>
      </x:c>
      <x:c r="K152" s="7" t="str">
        <x:v>TC-BR-RULE-07-A TC-BR-RULE-07-B</x:v>
      </x:c>
      <x:c r="L152" s="7" t="str">
        <x:v>Specified</x:v>
      </x:c>
      <x:c r="M152" s="10" t="str">
        <x:v>Not implemented</x:v>
      </x:c>
      <x:c r="N152" s="10" t="str">
        <x:v>Not run</x:v>
      </x:c>
    </x:row>
    <x:row r="153" ht="30" customHeight="1">
      <x:c r="A153" s="8" t="str">
        <x:v>BR-RULE-08</x:v>
      </x:c>
      <x:c r="B153" s="8" t="str">
        <x:v>No silent adverse allocation</x:v>
      </x:c>
      <x:c r="C153" s="8" t="str">
        <x:v>Must</x:v>
      </x:c>
      <x:c r="D153" s="8" t="str">
        <x:v>R1</x:v>
      </x:c>
      <x:c r="E153" s="8" t="str">
        <x:v>FR-RULE-08</x:v>
      </x:c>
      <x:c r="F153" s="8" t="str">
        <x:v>FSD RULE</x:v>
      </x:c>
      <x:c r="G153" s="8" t="str">
        <x:v>SCR02 SCR05 SCR06 SCR07 SCR11</x:v>
      </x:c>
      <x:c r="H153" s="8" t="str">
        <x:v>C03 C05 C13</x:v>
      </x:c>
      <x:c r="I153" s="8" t="str">
        <x:v>Cross-cutting control</x:v>
      </x:c>
      <x:c r="J153" s="8" t="str">
        <x:v>WP02</x:v>
      </x:c>
      <x:c r="K153" s="8" t="str">
        <x:v>TC-BR-RULE-08-A TC-BR-RULE-08-B</x:v>
      </x:c>
      <x:c r="L153" s="8" t="str">
        <x:v>Specified</x:v>
      </x:c>
      <x:c r="M153" s="10" t="str">
        <x:v>Not implemented</x:v>
      </x:c>
      <x:c r="N153" s="10" t="str">
        <x:v>Not run</x:v>
      </x:c>
    </x:row>
    <x:row r="154" ht="30" customHeight="1">
      <x:c r="A154" s="7" t="str">
        <x:v>NFR-01</x:v>
      </x:c>
      <x:c r="B154" s="7" t="str">
        <x:v>Core availability</x:v>
      </x:c>
      <x:c r="C154" s="7" t="str">
        <x:v>Must</x:v>
      </x:c>
      <x:c r="D154" s="7" t="str">
        <x:v>R1</x:v>
      </x:c>
      <x:c r="E154" s="7" t="str">
        <x:v>QR-01</x:v>
      </x:c>
      <x:c r="F154" s="7" t="str">
        <x:v>Test Strategy quality controls</x:v>
      </x:c>
      <x:c r="G154" s="7" t="str">
        <x:v>Cross platform</x:v>
      </x:c>
      <x:c r="H154" s="7" t="str">
        <x:v>C01 C02 C03 C13 C14</x:v>
      </x:c>
      <x:c r="I154" s="7" t="str">
        <x:v>Cross-cutting control</x:v>
      </x:c>
      <x:c r="J154" s="7" t="str">
        <x:v>WP11</x:v>
      </x:c>
      <x:c r="K154" s="7" t="str">
        <x:v>TC-NFR-01-A TC-NFR-01-B</x:v>
      </x:c>
      <x:c r="L154" s="7" t="str">
        <x:v>Specified</x:v>
      </x:c>
      <x:c r="M154" s="10" t="str">
        <x:v>Not implemented</x:v>
      </x:c>
      <x:c r="N154" s="10" t="str">
        <x:v>Not run</x:v>
      </x:c>
    </x:row>
    <x:row r="155" ht="30" customHeight="1">
      <x:c r="A155" s="8" t="str">
        <x:v>NFR-02</x:v>
      </x:c>
      <x:c r="B155" s="8" t="str">
        <x:v>Responsive field interface</x:v>
      </x:c>
      <x:c r="C155" s="8" t="str">
        <x:v>Must</x:v>
      </x:c>
      <x:c r="D155" s="8" t="str">
        <x:v>R1</x:v>
      </x:c>
      <x:c r="E155" s="8" t="str">
        <x:v>QR-02</x:v>
      </x:c>
      <x:c r="F155" s="8" t="str">
        <x:v>Test Strategy quality controls</x:v>
      </x:c>
      <x:c r="G155" s="8" t="str">
        <x:v>Cross platform</x:v>
      </x:c>
      <x:c r="H155" s="8" t="str">
        <x:v>C01 C02 C03 C13 C14</x:v>
      </x:c>
      <x:c r="I155" s="8" t="str">
        <x:v>Cross-cutting control</x:v>
      </x:c>
      <x:c r="J155" s="8" t="str">
        <x:v>WP11</x:v>
      </x:c>
      <x:c r="K155" s="8" t="str">
        <x:v>TC-NFR-02-A TC-NFR-02-B</x:v>
      </x:c>
      <x:c r="L155" s="8" t="str">
        <x:v>Specified</x:v>
      </x:c>
      <x:c r="M155" s="10" t="str">
        <x:v>Not implemented</x:v>
      </x:c>
      <x:c r="N155" s="10" t="str">
        <x:v>Not run</x:v>
      </x:c>
    </x:row>
    <x:row r="156" ht="30" customHeight="1">
      <x:c r="A156" s="7" t="str">
        <x:v>NFR-03</x:v>
      </x:c>
      <x:c r="B156" s="7" t="str">
        <x:v>Visible AI progress</x:v>
      </x:c>
      <x:c r="C156" s="7" t="str">
        <x:v>Must</x:v>
      </x:c>
      <x:c r="D156" s="7" t="str">
        <x:v>R1</x:v>
      </x:c>
      <x:c r="E156" s="7" t="str">
        <x:v>QR-03</x:v>
      </x:c>
      <x:c r="F156" s="7" t="str">
        <x:v>Test Strategy quality controls</x:v>
      </x:c>
      <x:c r="G156" s="7" t="str">
        <x:v>Cross platform</x:v>
      </x:c>
      <x:c r="H156" s="7" t="str">
        <x:v>C01 C02 C03 C13 C14</x:v>
      </x:c>
      <x:c r="I156" s="7" t="str">
        <x:v>Cross-cutting control</x:v>
      </x:c>
      <x:c r="J156" s="7" t="str">
        <x:v>WP11</x:v>
      </x:c>
      <x:c r="K156" s="7" t="str">
        <x:v>TC-NFR-03-A TC-NFR-03-B</x:v>
      </x:c>
      <x:c r="L156" s="7" t="str">
        <x:v>Specified</x:v>
      </x:c>
      <x:c r="M156" s="10" t="str">
        <x:v>Not implemented</x:v>
      </x:c>
      <x:c r="N156" s="10" t="str">
        <x:v>Not run</x:v>
      </x:c>
    </x:row>
    <x:row r="157" ht="30" customHeight="1">
      <x:c r="A157" s="8" t="str">
        <x:v>NFR-04</x:v>
      </x:c>
      <x:c r="B157" s="8" t="str">
        <x:v>No loss of acknowledged local work</x:v>
      </x:c>
      <x:c r="C157" s="8" t="str">
        <x:v>Must</x:v>
      </x:c>
      <x:c r="D157" s="8" t="str">
        <x:v>R1</x:v>
      </x:c>
      <x:c r="E157" s="8" t="str">
        <x:v>QR-04</x:v>
      </x:c>
      <x:c r="F157" s="8" t="str">
        <x:v>Test Strategy quality controls</x:v>
      </x:c>
      <x:c r="G157" s="8" t="str">
        <x:v>Cross platform</x:v>
      </x:c>
      <x:c r="H157" s="8" t="str">
        <x:v>C01 C02 C03 C13 C14</x:v>
      </x:c>
      <x:c r="I157" s="8" t="str">
        <x:v>Cross-cutting control</x:v>
      </x:c>
      <x:c r="J157" s="8" t="str">
        <x:v>WP11</x:v>
      </x:c>
      <x:c r="K157" s="8" t="str">
        <x:v>TC-NFR-04-A TC-NFR-04-B</x:v>
      </x:c>
      <x:c r="L157" s="8" t="str">
        <x:v>Specified</x:v>
      </x:c>
      <x:c r="M157" s="10" t="str">
        <x:v>Not implemented</x:v>
      </x:c>
      <x:c r="N157" s="10" t="str">
        <x:v>Not run</x:v>
      </x:c>
    </x:row>
    <x:row r="158" ht="30" customHeight="1">
      <x:c r="A158" s="7" t="str">
        <x:v>NFR-05</x:v>
      </x:c>
      <x:c r="B158" s="7" t="str">
        <x:v>Duplicate-safe execution</x:v>
      </x:c>
      <x:c r="C158" s="7" t="str">
        <x:v>Must</x:v>
      </x:c>
      <x:c r="D158" s="7" t="str">
        <x:v>R1</x:v>
      </x:c>
      <x:c r="E158" s="7" t="str">
        <x:v>QR-05</x:v>
      </x:c>
      <x:c r="F158" s="7" t="str">
        <x:v>Test Strategy quality controls</x:v>
      </x:c>
      <x:c r="G158" s="7" t="str">
        <x:v>Cross platform</x:v>
      </x:c>
      <x:c r="H158" s="7" t="str">
        <x:v>C01 C02 C03 C13 C14</x:v>
      </x:c>
      <x:c r="I158" s="7" t="str">
        <x:v>Cross-cutting control</x:v>
      </x:c>
      <x:c r="J158" s="7" t="str">
        <x:v>WP11</x:v>
      </x:c>
      <x:c r="K158" s="7" t="str">
        <x:v>TC-NFR-05-A TC-NFR-05-B</x:v>
      </x:c>
      <x:c r="L158" s="7" t="str">
        <x:v>Specified</x:v>
      </x:c>
      <x:c r="M158" s="10" t="str">
        <x:v>Not implemented</x:v>
      </x:c>
      <x:c r="N158" s="10" t="str">
        <x:v>Not run</x:v>
      </x:c>
    </x:row>
    <x:row r="159" ht="30" customHeight="1">
      <x:c r="A159" s="8" t="str">
        <x:v>NFR-06</x:v>
      </x:c>
      <x:c r="B159" s="8" t="str">
        <x:v>Server recovery</x:v>
      </x:c>
      <x:c r="C159" s="8" t="str">
        <x:v>Must</x:v>
      </x:c>
      <x:c r="D159" s="8" t="str">
        <x:v>R1</x:v>
      </x:c>
      <x:c r="E159" s="8" t="str">
        <x:v>QR-06</x:v>
      </x:c>
      <x:c r="F159" s="8" t="str">
        <x:v>Test Strategy quality controls</x:v>
      </x:c>
      <x:c r="G159" s="8" t="str">
        <x:v>Cross platform</x:v>
      </x:c>
      <x:c r="H159" s="8" t="str">
        <x:v>C01 C02 C03 C13 C14</x:v>
      </x:c>
      <x:c r="I159" s="8" t="str">
        <x:v>Cross-cutting control</x:v>
      </x:c>
      <x:c r="J159" s="8" t="str">
        <x:v>WP11</x:v>
      </x:c>
      <x:c r="K159" s="8" t="str">
        <x:v>TC-NFR-06-A TC-NFR-06-B</x:v>
      </x:c>
      <x:c r="L159" s="8" t="str">
        <x:v>Specified</x:v>
      </x:c>
      <x:c r="M159" s="10" t="str">
        <x:v>Not implemented</x:v>
      </x:c>
      <x:c r="N159" s="10" t="str">
        <x:v>Not run</x:v>
      </x:c>
    </x:row>
    <x:row r="160" ht="30" customHeight="1">
      <x:c r="A160" s="7" t="str">
        <x:v>NFR-07</x:v>
      </x:c>
      <x:c r="B160" s="7" t="str">
        <x:v>Data integrity</x:v>
      </x:c>
      <x:c r="C160" s="7" t="str">
        <x:v>Must</x:v>
      </x:c>
      <x:c r="D160" s="7" t="str">
        <x:v>R1</x:v>
      </x:c>
      <x:c r="E160" s="7" t="str">
        <x:v>QR-07</x:v>
      </x:c>
      <x:c r="F160" s="7" t="str">
        <x:v>Test Strategy quality controls</x:v>
      </x:c>
      <x:c r="G160" s="7" t="str">
        <x:v>Cross platform</x:v>
      </x:c>
      <x:c r="H160" s="7" t="str">
        <x:v>C01 C02 C03 C13 C14</x:v>
      </x:c>
      <x:c r="I160" s="7" t="str">
        <x:v>Cross-cutting control</x:v>
      </x:c>
      <x:c r="J160" s="7" t="str">
        <x:v>WP11</x:v>
      </x:c>
      <x:c r="K160" s="7" t="str">
        <x:v>TC-NFR-07-A TC-NFR-07-B</x:v>
      </x:c>
      <x:c r="L160" s="7" t="str">
        <x:v>Specified</x:v>
      </x:c>
      <x:c r="M160" s="10" t="str">
        <x:v>Not implemented</x:v>
      </x:c>
      <x:c r="N160" s="10" t="str">
        <x:v>Not run</x:v>
      </x:c>
    </x:row>
    <x:row r="161" ht="30" customHeight="1">
      <x:c r="A161" s="8" t="str">
        <x:v>NFR-08</x:v>
      </x:c>
      <x:c r="B161" s="8" t="str">
        <x:v>Security release posture</x:v>
      </x:c>
      <x:c r="C161" s="8" t="str">
        <x:v>Must</x:v>
      </x:c>
      <x:c r="D161" s="8" t="str">
        <x:v>R1</x:v>
      </x:c>
      <x:c r="E161" s="8" t="str">
        <x:v>QR-08</x:v>
      </x:c>
      <x:c r="F161" s="8" t="str">
        <x:v>Test Strategy quality controls</x:v>
      </x:c>
      <x:c r="G161" s="8" t="str">
        <x:v>Cross platform</x:v>
      </x:c>
      <x:c r="H161" s="8" t="str">
        <x:v>C01 C02 C03 C13 C14</x:v>
      </x:c>
      <x:c r="I161" s="8" t="str">
        <x:v>Cross-cutting control</x:v>
      </x:c>
      <x:c r="J161" s="8" t="str">
        <x:v>WP11</x:v>
      </x:c>
      <x:c r="K161" s="8" t="str">
        <x:v>TC-NFR-08-A TC-NFR-08-B</x:v>
      </x:c>
      <x:c r="L161" s="8" t="str">
        <x:v>Specified</x:v>
      </x:c>
      <x:c r="M161" s="10" t="str">
        <x:v>Not implemented</x:v>
      </x:c>
      <x:c r="N161" s="10" t="str">
        <x:v>Not run</x:v>
      </x:c>
    </x:row>
    <x:row r="162" ht="30" customHeight="1">
      <x:c r="A162" s="7" t="str">
        <x:v>NFR-09</x:v>
      </x:c>
      <x:c r="B162" s="7" t="str">
        <x:v>Online revocation</x:v>
      </x:c>
      <x:c r="C162" s="7" t="str">
        <x:v>Must</x:v>
      </x:c>
      <x:c r="D162" s="7" t="str">
        <x:v>R1</x:v>
      </x:c>
      <x:c r="E162" s="7" t="str">
        <x:v>QR-09</x:v>
      </x:c>
      <x:c r="F162" s="7" t="str">
        <x:v>Test Strategy quality controls</x:v>
      </x:c>
      <x:c r="G162" s="7" t="str">
        <x:v>Cross platform</x:v>
      </x:c>
      <x:c r="H162" s="7" t="str">
        <x:v>C01 C02 C03 C13 C14</x:v>
      </x:c>
      <x:c r="I162" s="7" t="str">
        <x:v>Cross-cutting control</x:v>
      </x:c>
      <x:c r="J162" s="7" t="str">
        <x:v>WP11</x:v>
      </x:c>
      <x:c r="K162" s="7" t="str">
        <x:v>TC-NFR-09-A TC-NFR-09-B</x:v>
      </x:c>
      <x:c r="L162" s="7" t="str">
        <x:v>Specified</x:v>
      </x:c>
      <x:c r="M162" s="10" t="str">
        <x:v>Not implemented</x:v>
      </x:c>
      <x:c r="N162" s="10" t="str">
        <x:v>Not run</x:v>
      </x:c>
    </x:row>
    <x:row r="163" ht="30" customHeight="1">
      <x:c r="A163" s="8" t="str">
        <x:v>NFR-10</x:v>
      </x:c>
      <x:c r="B163" s="8" t="str">
        <x:v>Audit completeness and timing</x:v>
      </x:c>
      <x:c r="C163" s="8" t="str">
        <x:v>Must</x:v>
      </x:c>
      <x:c r="D163" s="8" t="str">
        <x:v>R1</x:v>
      </x:c>
      <x:c r="E163" s="8" t="str">
        <x:v>QR-10</x:v>
      </x:c>
      <x:c r="F163" s="8" t="str">
        <x:v>Test Strategy quality controls</x:v>
      </x:c>
      <x:c r="G163" s="8" t="str">
        <x:v>Cross platform</x:v>
      </x:c>
      <x:c r="H163" s="8" t="str">
        <x:v>C01 C02 C03 C13 C14</x:v>
      </x:c>
      <x:c r="I163" s="8" t="str">
        <x:v>Cross-cutting control</x:v>
      </x:c>
      <x:c r="J163" s="8" t="str">
        <x:v>WP11</x:v>
      </x:c>
      <x:c r="K163" s="8" t="str">
        <x:v>TC-NFR-10-A TC-NFR-10-B</x:v>
      </x:c>
      <x:c r="L163" s="8" t="str">
        <x:v>Specified</x:v>
      </x:c>
      <x:c r="M163" s="10" t="str">
        <x:v>Not implemented</x:v>
      </x:c>
      <x:c r="N163" s="10" t="str">
        <x:v>Not run</x:v>
      </x:c>
    </x:row>
    <x:row r="164" ht="30" customHeight="1">
      <x:c r="A164" s="7" t="str">
        <x:v>NFR-11</x:v>
      </x:c>
      <x:c r="B164" s="7" t="str">
        <x:v>Offline capacity and controlled storage</x:v>
      </x:c>
      <x:c r="C164" s="7" t="str">
        <x:v>Must</x:v>
      </x:c>
      <x:c r="D164" s="7" t="str">
        <x:v>R1</x:v>
      </x:c>
      <x:c r="E164" s="7" t="str">
        <x:v>QR-11</x:v>
      </x:c>
      <x:c r="F164" s="7" t="str">
        <x:v>Test Strategy quality controls</x:v>
      </x:c>
      <x:c r="G164" s="7" t="str">
        <x:v>Cross platform</x:v>
      </x:c>
      <x:c r="H164" s="7" t="str">
        <x:v>C01 C02 C03 C13 C14</x:v>
      </x:c>
      <x:c r="I164" s="7" t="str">
        <x:v>Cross-cutting control</x:v>
      </x:c>
      <x:c r="J164" s="7" t="str">
        <x:v>WP11</x:v>
      </x:c>
      <x:c r="K164" s="7" t="str">
        <x:v>TC-NFR-11-A TC-NFR-11-B</x:v>
      </x:c>
      <x:c r="L164" s="7" t="str">
        <x:v>Specified</x:v>
      </x:c>
      <x:c r="M164" s="10" t="str">
        <x:v>Not implemented</x:v>
      </x:c>
      <x:c r="N164" s="10" t="str">
        <x:v>Not run</x:v>
      </x:c>
    </x:row>
    <x:row r="165" ht="30" customHeight="1">
      <x:c r="A165" s="8" t="str">
        <x:v>NFR-12</x:v>
      </x:c>
      <x:c r="B165" s="8" t="str">
        <x:v>Synchronisation recovery</x:v>
      </x:c>
      <x:c r="C165" s="8" t="str">
        <x:v>Must</x:v>
      </x:c>
      <x:c r="D165" s="8" t="str">
        <x:v>R1</x:v>
      </x:c>
      <x:c r="E165" s="8" t="str">
        <x:v>QR-12</x:v>
      </x:c>
      <x:c r="F165" s="8" t="str">
        <x:v>Test Strategy quality controls</x:v>
      </x:c>
      <x:c r="G165" s="8" t="str">
        <x:v>Cross platform</x:v>
      </x:c>
      <x:c r="H165" s="8" t="str">
        <x:v>C01 C02 C03 C13 C14</x:v>
      </x:c>
      <x:c r="I165" s="8" t="str">
        <x:v>Cross-cutting control</x:v>
      </x:c>
      <x:c r="J165" s="8" t="str">
        <x:v>WP11</x:v>
      </x:c>
      <x:c r="K165" s="8" t="str">
        <x:v>TC-NFR-12-A TC-NFR-12-B</x:v>
      </x:c>
      <x:c r="L165" s="8" t="str">
        <x:v>Specified</x:v>
      </x:c>
      <x:c r="M165" s="10" t="str">
        <x:v>Not implemented</x:v>
      </x:c>
      <x:c r="N165" s="10" t="str">
        <x:v>Not run</x:v>
      </x:c>
    </x:row>
    <x:row r="166" ht="30" customHeight="1">
      <x:c r="A166" s="7" t="str">
        <x:v>NFR-13</x:v>
      </x:c>
      <x:c r="B166" s="7" t="str">
        <x:v>Accessibility</x:v>
      </x:c>
      <x:c r="C166" s="7" t="str">
        <x:v>Must</x:v>
      </x:c>
      <x:c r="D166" s="7" t="str">
        <x:v>R1</x:v>
      </x:c>
      <x:c r="E166" s="7" t="str">
        <x:v>QR-13</x:v>
      </x:c>
      <x:c r="F166" s="7" t="str">
        <x:v>Test Strategy quality controls</x:v>
      </x:c>
      <x:c r="G166" s="7" t="str">
        <x:v>Cross platform</x:v>
      </x:c>
      <x:c r="H166" s="7" t="str">
        <x:v>C01 C02 C03 C13 C14</x:v>
      </x:c>
      <x:c r="I166" s="7" t="str">
        <x:v>Cross-cutting control</x:v>
      </x:c>
      <x:c r="J166" s="7" t="str">
        <x:v>WP11</x:v>
      </x:c>
      <x:c r="K166" s="7" t="str">
        <x:v>TC-NFR-13-A TC-NFR-13-B</x:v>
      </x:c>
      <x:c r="L166" s="7" t="str">
        <x:v>Specified</x:v>
      </x:c>
      <x:c r="M166" s="10" t="str">
        <x:v>Not implemented</x:v>
      </x:c>
      <x:c r="N166" s="10" t="str">
        <x:v>Not run</x:v>
      </x:c>
    </x:row>
    <x:row r="167" ht="30" customHeight="1">
      <x:c r="A167" s="8" t="str">
        <x:v>NFR-14</x:v>
      </x:c>
      <x:c r="B167" s="8" t="str">
        <x:v>Usability and training burden</x:v>
      </x:c>
      <x:c r="C167" s="8" t="str">
        <x:v>Must</x:v>
      </x:c>
      <x:c r="D167" s="8" t="str">
        <x:v>R1</x:v>
      </x:c>
      <x:c r="E167" s="8" t="str">
        <x:v>QR-14</x:v>
      </x:c>
      <x:c r="F167" s="8" t="str">
        <x:v>Test Strategy quality controls</x:v>
      </x:c>
      <x:c r="G167" s="8" t="str">
        <x:v>Cross platform</x:v>
      </x:c>
      <x:c r="H167" s="8" t="str">
        <x:v>C01 C02 C03 C13 C14</x:v>
      </x:c>
      <x:c r="I167" s="8" t="str">
        <x:v>Cross-cutting control</x:v>
      </x:c>
      <x:c r="J167" s="8" t="str">
        <x:v>WP11</x:v>
      </x:c>
      <x:c r="K167" s="8" t="str">
        <x:v>TC-NFR-14-A TC-NFR-14-B</x:v>
      </x:c>
      <x:c r="L167" s="8" t="str">
        <x:v>Specified</x:v>
      </x:c>
      <x:c r="M167" s="10" t="str">
        <x:v>Not implemented</x:v>
      </x:c>
      <x:c r="N167" s="10" t="str">
        <x:v>Not run</x:v>
      </x:c>
    </x:row>
    <x:row r="168" ht="30" customHeight="1">
      <x:c r="A168" s="7" t="str">
        <x:v>NFR-15</x:v>
      </x:c>
      <x:c r="B168" s="7" t="str">
        <x:v>Language quality</x:v>
      </x:c>
      <x:c r="C168" s="7" t="str">
        <x:v>Must</x:v>
      </x:c>
      <x:c r="D168" s="7" t="str">
        <x:v>R1</x:v>
      </x:c>
      <x:c r="E168" s="7" t="str">
        <x:v>QR-15</x:v>
      </x:c>
      <x:c r="F168" s="7" t="str">
        <x:v>Test Strategy quality controls</x:v>
      </x:c>
      <x:c r="G168" s="7" t="str">
        <x:v>Cross platform</x:v>
      </x:c>
      <x:c r="H168" s="7" t="str">
        <x:v>C01 C02 C03 C13 C14</x:v>
      </x:c>
      <x:c r="I168" s="7" t="str">
        <x:v>Cross-cutting control</x:v>
      </x:c>
      <x:c r="J168" s="7" t="str">
        <x:v>WP11</x:v>
      </x:c>
      <x:c r="K168" s="7" t="str">
        <x:v>TC-NFR-15-A TC-NFR-15-B</x:v>
      </x:c>
      <x:c r="L168" s="7" t="str">
        <x:v>Specified</x:v>
      </x:c>
      <x:c r="M168" s="10" t="str">
        <x:v>Not implemented</x:v>
      </x:c>
      <x:c r="N168" s="10" t="str">
        <x:v>Not run</x:v>
      </x:c>
    </x:row>
    <x:row r="169" ht="30" customHeight="1">
      <x:c r="A169" s="8" t="str">
        <x:v>NFR-16</x:v>
      </x:c>
      <x:c r="B169" s="8" t="str">
        <x:v>AI extraction quality</x:v>
      </x:c>
      <x:c r="C169" s="8" t="str">
        <x:v>Must</x:v>
      </x:c>
      <x:c r="D169" s="8" t="str">
        <x:v>R1</x:v>
      </x:c>
      <x:c r="E169" s="8" t="str">
        <x:v>QR-16</x:v>
      </x:c>
      <x:c r="F169" s="8" t="str">
        <x:v>Test Strategy quality controls</x:v>
      </x:c>
      <x:c r="G169" s="8" t="str">
        <x:v>Cross platform</x:v>
      </x:c>
      <x:c r="H169" s="8" t="str">
        <x:v>C01 C02 C03 C13 C14</x:v>
      </x:c>
      <x:c r="I169" s="8" t="str">
        <x:v>Cross-cutting control</x:v>
      </x:c>
      <x:c r="J169" s="8" t="str">
        <x:v>WP11</x:v>
      </x:c>
      <x:c r="K169" s="8" t="str">
        <x:v>TC-NFR-16-A TC-NFR-16-B</x:v>
      </x:c>
      <x:c r="L169" s="8" t="str">
        <x:v>Specified</x:v>
      </x:c>
      <x:c r="M169" s="10" t="str">
        <x:v>Not implemented</x:v>
      </x:c>
      <x:c r="N169" s="10" t="str">
        <x:v>Not run</x:v>
      </x:c>
    </x:row>
    <x:row r="170" ht="30" customHeight="1">
      <x:c r="A170" s="7" t="str">
        <x:v>NFR-17</x:v>
      </x:c>
      <x:c r="B170" s="7" t="str">
        <x:v>Clinical and agent safety evaluation</x:v>
      </x:c>
      <x:c r="C170" s="7" t="str">
        <x:v>Must</x:v>
      </x:c>
      <x:c r="D170" s="7" t="str">
        <x:v>R1</x:v>
      </x:c>
      <x:c r="E170" s="7" t="str">
        <x:v>QR-17</x:v>
      </x:c>
      <x:c r="F170" s="7" t="str">
        <x:v>Test Strategy quality controls</x:v>
      </x:c>
      <x:c r="G170" s="7" t="str">
        <x:v>Cross platform</x:v>
      </x:c>
      <x:c r="H170" s="7" t="str">
        <x:v>C01 C02 C03 C13 C14</x:v>
      </x:c>
      <x:c r="I170" s="7" t="str">
        <x:v>Cross-cutting control</x:v>
      </x:c>
      <x:c r="J170" s="7" t="str">
        <x:v>WP11</x:v>
      </x:c>
      <x:c r="K170" s="7" t="str">
        <x:v>TC-NFR-17-A TC-NFR-17-B</x:v>
      </x:c>
      <x:c r="L170" s="7" t="str">
        <x:v>Specified</x:v>
      </x:c>
      <x:c r="M170" s="10" t="str">
        <x:v>Not implemented</x:v>
      </x:c>
      <x:c r="N170" s="10" t="str">
        <x:v>Not run</x:v>
      </x:c>
    </x:row>
    <x:row r="171" ht="30" customHeight="1">
      <x:c r="A171" s="8" t="str">
        <x:v>NFR-18</x:v>
      </x:c>
      <x:c r="B171" s="8" t="str">
        <x:v>Operational observability</x:v>
      </x:c>
      <x:c r="C171" s="8" t="str">
        <x:v>Must</x:v>
      </x:c>
      <x:c r="D171" s="8" t="str">
        <x:v>R1</x:v>
      </x:c>
      <x:c r="E171" s="8" t="str">
        <x:v>QR-18</x:v>
      </x:c>
      <x:c r="F171" s="8" t="str">
        <x:v>Test Strategy quality controls</x:v>
      </x:c>
      <x:c r="G171" s="8" t="str">
        <x:v>Cross platform</x:v>
      </x:c>
      <x:c r="H171" s="8" t="str">
        <x:v>C01 C02 C03 C13 C14</x:v>
      </x:c>
      <x:c r="I171" s="8" t="str">
        <x:v>Cross-cutting control</x:v>
      </x:c>
      <x:c r="J171" s="8" t="str">
        <x:v>WP11</x:v>
      </x:c>
      <x:c r="K171" s="8" t="str">
        <x:v>TC-NFR-18-A TC-NFR-18-B</x:v>
      </x:c>
      <x:c r="L171" s="8" t="str">
        <x:v>Specified</x:v>
      </x:c>
      <x:c r="M171" s="10" t="str">
        <x:v>Not implemented</x:v>
      </x:c>
      <x:c r="N171" s="10" t="str">
        <x:v>Not run</x:v>
      </x:c>
    </x:row>
    <x:row r="172" ht="30" customHeight="1">
      <x:c r="A172" s="7" t="str">
        <x:v>NFR-19</x:v>
      </x:c>
      <x:c r="B172" s="7" t="str">
        <x:v>Maintainable configuration</x:v>
      </x:c>
      <x:c r="C172" s="7" t="str">
        <x:v>Must</x:v>
      </x:c>
      <x:c r="D172" s="7" t="str">
        <x:v>R1</x:v>
      </x:c>
      <x:c r="E172" s="7" t="str">
        <x:v>QR-19</x:v>
      </x:c>
      <x:c r="F172" s="7" t="str">
        <x:v>Test Strategy quality controls</x:v>
      </x:c>
      <x:c r="G172" s="7" t="str">
        <x:v>Cross platform</x:v>
      </x:c>
      <x:c r="H172" s="7" t="str">
        <x:v>C01 C02 C03 C13 C14</x:v>
      </x:c>
      <x:c r="I172" s="7" t="str">
        <x:v>Cross-cutting control</x:v>
      </x:c>
      <x:c r="J172" s="7" t="str">
        <x:v>WP11</x:v>
      </x:c>
      <x:c r="K172" s="7" t="str">
        <x:v>TC-NFR-19-A TC-NFR-19-B</x:v>
      </x:c>
      <x:c r="L172" s="7" t="str">
        <x:v>Specified</x:v>
      </x:c>
      <x:c r="M172" s="10" t="str">
        <x:v>Not implemented</x:v>
      </x:c>
      <x:c r="N172" s="10" t="str">
        <x:v>Not run</x:v>
      </x:c>
    </x:row>
    <x:row r="173" ht="30" customHeight="1">
      <x:c r="A173" s="8" t="str">
        <x:v>NFR-20</x:v>
      </x:c>
      <x:c r="B173" s="8" t="str">
        <x:v>Integration conformance</x:v>
      </x:c>
      <x:c r="C173" s="8" t="str">
        <x:v>Must</x:v>
      </x:c>
      <x:c r="D173" s="8" t="str">
        <x:v>R1</x:v>
      </x:c>
      <x:c r="E173" s="8" t="str">
        <x:v>QR-20</x:v>
      </x:c>
      <x:c r="F173" s="8" t="str">
        <x:v>Test Strategy quality controls</x:v>
      </x:c>
      <x:c r="G173" s="8" t="str">
        <x:v>Cross platform</x:v>
      </x:c>
      <x:c r="H173" s="8" t="str">
        <x:v>C01 C02 C03 C13 C14</x:v>
      </x:c>
      <x:c r="I173" s="8" t="str">
        <x:v>Cross-cutting control</x:v>
      </x:c>
      <x:c r="J173" s="8" t="str">
        <x:v>WP11</x:v>
      </x:c>
      <x:c r="K173" s="8" t="str">
        <x:v>TC-NFR-20-A TC-NFR-20-B</x:v>
      </x:c>
      <x:c r="L173" s="8" t="str">
        <x:v>Specified</x:v>
      </x:c>
      <x:c r="M173" s="10" t="str">
        <x:v>Not implemented</x:v>
      </x:c>
      <x:c r="N173" s="10" t="str">
        <x:v>Not run</x:v>
      </x:c>
    </x:row>
    <x:row r="174" ht="30" customHeight="1">
      <x:c r="A174" s="7" t="str">
        <x:v>NFR-21</x:v>
      </x:c>
      <x:c r="B174" s="7" t="str">
        <x:v>Cost transparency</x:v>
      </x:c>
      <x:c r="C174" s="7" t="str">
        <x:v>Must</x:v>
      </x:c>
      <x:c r="D174" s="7" t="str">
        <x:v>R1</x:v>
      </x:c>
      <x:c r="E174" s="7" t="str">
        <x:v>QR-21</x:v>
      </x:c>
      <x:c r="F174" s="7" t="str">
        <x:v>Test Strategy quality controls</x:v>
      </x:c>
      <x:c r="G174" s="7" t="str">
        <x:v>Cross platform</x:v>
      </x:c>
      <x:c r="H174" s="7" t="str">
        <x:v>C01 C02 C03 C13 C14</x:v>
      </x:c>
      <x:c r="I174" s="7" t="str">
        <x:v>Cross-cutting control</x:v>
      </x:c>
      <x:c r="J174" s="7" t="str">
        <x:v>WP11</x:v>
      </x:c>
      <x:c r="K174" s="7" t="str">
        <x:v>TC-NFR-21-A TC-NFR-21-B</x:v>
      </x:c>
      <x:c r="L174" s="7" t="str">
        <x:v>Specified</x:v>
      </x:c>
      <x:c r="M174" s="10" t="str">
        <x:v>Not implemented</x:v>
      </x:c>
      <x:c r="N174" s="10" t="str">
        <x:v>Not run</x:v>
      </x:c>
    </x:row>
    <x:row r="175" ht="30" customHeight="1">
      <x:c r="A175" s="8" t="str">
        <x:v>NFR-22</x:v>
      </x:c>
      <x:c r="B175" s="8" t="str">
        <x:v>Data portability and export integrity</x:v>
      </x:c>
      <x:c r="C175" s="8" t="str">
        <x:v>Must</x:v>
      </x:c>
      <x:c r="D175" s="8" t="str">
        <x:v>R1</x:v>
      </x:c>
      <x:c r="E175" s="8" t="str">
        <x:v>QR-22</x:v>
      </x:c>
      <x:c r="F175" s="8" t="str">
        <x:v>Test Strategy quality controls</x:v>
      </x:c>
      <x:c r="G175" s="8" t="str">
        <x:v>Cross platform</x:v>
      </x:c>
      <x:c r="H175" s="8" t="str">
        <x:v>C01 C02 C03 C13 C14</x:v>
      </x:c>
      <x:c r="I175" s="8" t="str">
        <x:v>Cross-cutting control</x:v>
      </x:c>
      <x:c r="J175" s="8" t="str">
        <x:v>WP11</x:v>
      </x:c>
      <x:c r="K175" s="8" t="str">
        <x:v>TC-NFR-22-A TC-NFR-22-B</x:v>
      </x:c>
      <x:c r="L175" s="8" t="str">
        <x:v>Specified</x:v>
      </x:c>
      <x:c r="M175" s="10" t="str">
        <x:v>Not implemented</x:v>
      </x:c>
      <x:c r="N175" s="10" t="str">
        <x:v>Not run</x:v>
      </x:c>
    </x:row>
    <x:row r="176" ht="30" customHeight="1">
      <x:c r="A176" s="7" t="str">
        <x:v>NFR-23</x:v>
      </x:c>
      <x:c r="B176" s="7" t="str">
        <x:v>Disaster and downtime readiness</x:v>
      </x:c>
      <x:c r="C176" s="7" t="str">
        <x:v>Must</x:v>
      </x:c>
      <x:c r="D176" s="7" t="str">
        <x:v>R1</x:v>
      </x:c>
      <x:c r="E176" s="7" t="str">
        <x:v>QR-23</x:v>
      </x:c>
      <x:c r="F176" s="7" t="str">
        <x:v>Test Strategy quality controls</x:v>
      </x:c>
      <x:c r="G176" s="7" t="str">
        <x:v>Cross platform</x:v>
      </x:c>
      <x:c r="H176" s="7" t="str">
        <x:v>C01 C02 C03 C13 C14</x:v>
      </x:c>
      <x:c r="I176" s="7" t="str">
        <x:v>Cross-cutting control</x:v>
      </x:c>
      <x:c r="J176" s="7" t="str">
        <x:v>WP11</x:v>
      </x:c>
      <x:c r="K176" s="7" t="str">
        <x:v>TC-NFR-23-A TC-NFR-23-B</x:v>
      </x:c>
      <x:c r="L176" s="7" t="str">
        <x:v>Specified</x:v>
      </x:c>
      <x:c r="M176" s="10" t="str">
        <x:v>Not implemented</x:v>
      </x:c>
      <x:c r="N176" s="10" t="str">
        <x:v>Not run</x:v>
      </x:c>
    </x:row>
    <x:row r="177" ht="30" customHeight="1">
      <x:c r="A177" s="8" t="str">
        <x:v>NFR-24</x:v>
      </x:c>
      <x:c r="B177" s="8" t="str">
        <x:v>Scale readiness</x:v>
      </x:c>
      <x:c r="C177" s="8" t="str">
        <x:v>Should</x:v>
      </x:c>
      <x:c r="D177" s="8" t="str">
        <x:v>R2</x:v>
      </x:c>
      <x:c r="E177" s="8" t="str">
        <x:v>QR-24</x:v>
      </x:c>
      <x:c r="F177" s="8" t="str">
        <x:v>Test Strategy quality controls</x:v>
      </x:c>
      <x:c r="G177" s="8" t="str">
        <x:v>Cross platform</x:v>
      </x:c>
      <x:c r="H177" s="8" t="str">
        <x:v>C01 C02 C03 C13 C14</x:v>
      </x:c>
      <x:c r="I177" s="8" t="str">
        <x:v>Cross-cutting control</x:v>
      </x:c>
      <x:c r="J177" s="8" t="str">
        <x:v>WP11</x:v>
      </x:c>
      <x:c r="K177" s="8" t="str">
        <x:v>TC-NFR-24-A TC-NFR-24-B</x:v>
      </x:c>
      <x:c r="L177" s="8" t="str">
        <x:v>Specified</x:v>
      </x:c>
      <x:c r="M177" s="10" t="str">
        <x:v>Not implemented</x:v>
      </x:c>
      <x:c r="N177" s="10" t="str">
        <x:v>Not run</x:v>
      </x:c>
    </x:row>
    <x:row r="178" ht="30" customHeight="1">
      <x:c r="A178" s="7" t="str">
        <x:v>NFR-25</x:v>
      </x:c>
      <x:c r="B178" s="7" t="str">
        <x:v>Clinical exchange validation</x:v>
      </x:c>
      <x:c r="C178" s="7" t="str">
        <x:v>Must</x:v>
      </x:c>
      <x:c r="D178" s="7" t="str">
        <x:v>R1</x:v>
      </x:c>
      <x:c r="E178" s="7" t="str">
        <x:v>QR-25</x:v>
      </x:c>
      <x:c r="F178" s="7" t="str">
        <x:v>Test Strategy quality controls</x:v>
      </x:c>
      <x:c r="G178" s="7" t="str">
        <x:v>Cross platform</x:v>
      </x:c>
      <x:c r="H178" s="7" t="str">
        <x:v>C01 C02 C03 C13 C14</x:v>
      </x:c>
      <x:c r="I178" s="7" t="str">
        <x:v>Cross-cutting control</x:v>
      </x:c>
      <x:c r="J178" s="7" t="str">
        <x:v>WP11</x:v>
      </x:c>
      <x:c r="K178" s="7" t="str">
        <x:v>TC-NFR-25-A TC-NFR-25-B</x:v>
      </x:c>
      <x:c r="L178" s="7" t="str">
        <x:v>Specified</x:v>
      </x:c>
      <x:c r="M178" s="10" t="str">
        <x:v>Not implemented</x:v>
      </x:c>
      <x:c r="N178" s="10" t="str">
        <x:v>Not run</x:v>
      </x:c>
    </x:row>
    <x:row r="179" ht="30" customHeight="1">
      <x:c r="A179" s="8" t="str">
        <x:v>NFR-26</x:v>
      </x:c>
      <x:c r="B179" s="8" t="str">
        <x:v>Consent and exchange traceability</x:v>
      </x:c>
      <x:c r="C179" s="8" t="str">
        <x:v>Must</x:v>
      </x:c>
      <x:c r="D179" s="8" t="str">
        <x:v>R1</x:v>
      </x:c>
      <x:c r="E179" s="8" t="str">
        <x:v>QR-26</x:v>
      </x:c>
      <x:c r="F179" s="8" t="str">
        <x:v>Test Strategy quality controls</x:v>
      </x:c>
      <x:c r="G179" s="8" t="str">
        <x:v>Cross platform</x:v>
      </x:c>
      <x:c r="H179" s="8" t="str">
        <x:v>C01 C02 C03 C13 C14</x:v>
      </x:c>
      <x:c r="I179" s="8" t="str">
        <x:v>Cross-cutting control</x:v>
      </x:c>
      <x:c r="J179" s="8" t="str">
        <x:v>WP11</x:v>
      </x:c>
      <x:c r="K179" s="8" t="str">
        <x:v>TC-NFR-26-A TC-NFR-26-B</x:v>
      </x:c>
      <x:c r="L179" s="8" t="str">
        <x:v>Specified</x:v>
      </x:c>
      <x:c r="M179" s="10" t="str">
        <x:v>Not implemented</x:v>
      </x:c>
      <x:c r="N179" s="10" t="str">
        <x:v>Not run</x:v>
      </x:c>
    </x:row>
    <x:row r="180" ht="30" customHeight="1">
      <x:c r="A180" s="7" t="str">
        <x:v>NFR-27</x:v>
      </x:c>
      <x:c r="B180" s="7" t="str">
        <x:v>Connector upgrade compatibility</x:v>
      </x:c>
      <x:c r="C180" s="7" t="str">
        <x:v>Must</x:v>
      </x:c>
      <x:c r="D180" s="7" t="str">
        <x:v>R1</x:v>
      </x:c>
      <x:c r="E180" s="7" t="str">
        <x:v>QR-27</x:v>
      </x:c>
      <x:c r="F180" s="7" t="str">
        <x:v>Test Strategy quality controls</x:v>
      </x:c>
      <x:c r="G180" s="7" t="str">
        <x:v>Cross platform</x:v>
      </x:c>
      <x:c r="H180" s="7" t="str">
        <x:v>C01 C02 C03 C13 C14</x:v>
      </x:c>
      <x:c r="I180" s="7" t="str">
        <x:v>Cross-cutting control</x:v>
      </x:c>
      <x:c r="J180" s="7" t="str">
        <x:v>WP11</x:v>
      </x:c>
      <x:c r="K180" s="7" t="str">
        <x:v>TC-NFR-27-A TC-NFR-27-B</x:v>
      </x:c>
      <x:c r="L180" s="7" t="str">
        <x:v>Specified</x:v>
      </x:c>
      <x:c r="M180" s="10" t="str">
        <x:v>Not implemented</x:v>
      </x:c>
      <x:c r="N180" s="10" t="str">
        <x:v>Not run</x:v>
      </x:c>
    </x:row>
    <x:row r="181" ht="30" customHeight="1">
      <x:c r="A181" s="8" t="str">
        <x:v>NFR-28</x:v>
      </x:c>
      <x:c r="B181" s="8" t="str">
        <x:v>Interoperability performance</x:v>
      </x:c>
      <x:c r="C181" s="8" t="str">
        <x:v>Should</x:v>
      </x:c>
      <x:c r="D181" s="8" t="str">
        <x:v>R1</x:v>
      </x:c>
      <x:c r="E181" s="8" t="str">
        <x:v>QR-28</x:v>
      </x:c>
      <x:c r="F181" s="8" t="str">
        <x:v>Test Strategy quality controls</x:v>
      </x:c>
      <x:c r="G181" s="8" t="str">
        <x:v>Cross platform</x:v>
      </x:c>
      <x:c r="H181" s="8" t="str">
        <x:v>C01 C02 C03 C13 C14</x:v>
      </x:c>
      <x:c r="I181" s="8" t="str">
        <x:v>Cross-cutting control</x:v>
      </x:c>
      <x:c r="J181" s="8" t="str">
        <x:v>WP11</x:v>
      </x:c>
      <x:c r="K181" s="8" t="str">
        <x:v>TC-NFR-28-A TC-NFR-28-B</x:v>
      </x:c>
      <x:c r="L181" s="8" t="str">
        <x:v>Specified</x:v>
      </x:c>
      <x:c r="M181" s="10" t="str">
        <x:v>Not implemented</x:v>
      </x:c>
      <x:c r="N181" s="10" t="str">
        <x:v>Not run</x:v>
      </x:c>
    </x:row>
  </x:sheetData>
  <x:mergeCells>
    <x:mergeCell ref="A1:F1"/>
    <x:mergeCell ref="A2:F2"/>
    <x:mergeCell ref="A3:F3"/>
  </x:mergeCells>
  <x:pageMargins left="0.7" right="0.7" top="0.75" bottom="0.75" header="0.3" footer="0.3"/>
  <x:tableParts count="1">
    <x:tablePart xmlns:r="http://schemas.openxmlformats.org/officeDocument/2006/relationships" r:id="R2de5dbc6c1424cc1"/>
  </x:tableParts>
</x:worksheet>
</file>

<file path=xl/worksheets/sheet3.xml><?xml version="1.0" encoding="utf-8"?>
<x:worksheet xmlns:x="http://schemas.openxmlformats.org/spreadsheetml/2006/main">
  <x:sheetPr>
    <x:tabColor rgb="FFB8852C"/>
  </x:sheetPr>
  <x:sheetViews>
    <x:sheetView showGridLines="0" workbookViewId="0">
      <x:pane xSplit="1" ySplit="5" topLeftCell="B6" activePane="bottomRight" state="frozen"/>
    </x:sheetView>
  </x:sheetViews>
  <x:sheetFormatPr defaultRowHeight="15"/>
  <x:cols>
    <x:col min="1" max="1" width="20" hidden="0" customWidth="1"/>
    <x:col min="2" max="2" width="30" hidden="0" customWidth="1"/>
    <x:col min="3" max="3" width="17.780000686645508" hidden="0" customWidth="1"/>
    <x:col min="4" max="4" width="34.439998626708984" hidden="0" customWidth="1"/>
    <x:col min="5" max="5" width="18.889999389648438" hidden="0" customWidth="1"/>
    <x:col min="6" max="6" width="10" hidden="0" customWidth="1"/>
    <x:col min="7" max="7" width="8.890000343322754" hidden="0" customWidth="1"/>
    <x:col min="8" max="8" width="16.670000076293945" hidden="0" customWidth="1"/>
    <x:col min="9" max="9" width="44.439998626708984" hidden="0" customWidth="1"/>
    <x:col min="10" max="10" width="57.779998779296875" hidden="0" customWidth="1"/>
    <x:col min="11" max="11" width="55.560001373291016" hidden="0" customWidth="1"/>
    <x:col min="12" max="12" width="14.4399995803833" hidden="0" customWidth="1"/>
    <x:col min="13" max="13" width="27.780000686645508" hidden="0" customWidth="1"/>
    <x:col min="14" max="14" width="28.889999389648438" hidden="0" customWidth="1"/>
    <x:col min="15" max="15" width="16.670000076293945" hidden="0" customWidth="1"/>
    <x:col min="16" max="16" width="16.670000076293945" hidden="0" customWidth="1"/>
  </x:cols>
  <x:sheetData>
    <x:row r="1" ht="28.5" customHeight="1">
      <x:c r="A1" s="4" t="str">
        <x:v>Test Catalogue</x:v>
      </x:c>
      <x:c r="B1" s="4"/>
      <x:c r="C1" s="4"/>
      <x:c r="D1" s="4"/>
      <x:c r="E1" s="4"/>
      <x:c r="F1" s="4"/>
      <x:c r="G1" s="3"/>
      <x:c r="H1" s="3"/>
      <x:c r="I1" s="3"/>
      <x:c r="J1" s="3"/>
      <x:c r="K1" s="3"/>
      <x:c r="L1" s="3"/>
      <x:c r="M1" s="3"/>
      <x:c r="N1" s="3"/>
      <x:c r="O1" s="3"/>
      <x:c r="P1" s="3"/>
    </x:row>
    <x:row r="2" ht="21" customHeight="1">
      <x:c r="A2" s="3" t="str">
        <x:v>Health AI Orchestration · v1.0 · source BRD v1.1 · proposed baseline · 26 September 2026</x:v>
      </x:c>
      <x:c r="B2" s="3"/>
      <x:c r="C2" s="3"/>
      <x:c r="D2" s="3"/>
      <x:c r="E2" s="3"/>
      <x:c r="F2" s="3"/>
      <x:c r="G2" s="3"/>
      <x:c r="H2" s="3"/>
      <x:c r="I2" s="3"/>
      <x:c r="J2" s="3"/>
      <x:c r="K2" s="3"/>
      <x:c r="L2" s="3"/>
      <x:c r="M2" s="3"/>
      <x:c r="N2" s="3"/>
      <x:c r="O2" s="3"/>
      <x:c r="P2" s="3"/>
    </x:row>
    <x:row r="3" ht="21" customHeight="1">
      <x:c r="A3" s="3" t="str">
        <x:v>Amber cells are editable execution fields. Add evidence before marking work or tests complete.</x:v>
      </x:c>
      <x:c r="B3" s="3"/>
      <x:c r="C3" s="3"/>
      <x:c r="D3" s="3"/>
      <x:c r="E3" s="3"/>
      <x:c r="F3" s="3"/>
      <x:c r="G3" s="3"/>
      <x:c r="H3" s="3"/>
      <x:c r="I3" s="3"/>
      <x:c r="J3" s="3"/>
      <x:c r="K3" s="3"/>
      <x:c r="L3" s="3"/>
      <x:c r="M3" s="3"/>
      <x:c r="N3" s="3"/>
      <x:c r="O3" s="3"/>
      <x:c r="P3" s="3"/>
    </x:row>
    <x:row r="4">
      <x:c r="A4" s="3"/>
      <x:c r="B4" s="3"/>
      <x:c r="C4" s="3"/>
      <x:c r="D4" s="3"/>
      <x:c r="E4" s="3"/>
      <x:c r="F4" s="3"/>
      <x:c r="G4" s="3"/>
      <x:c r="H4" s="3"/>
      <x:c r="I4" s="3"/>
      <x:c r="J4" s="3"/>
      <x:c r="K4" s="3"/>
      <x:c r="L4" s="3"/>
      <x:c r="M4" s="3"/>
      <x:c r="N4" s="3"/>
      <x:c r="O4" s="3"/>
      <x:c r="P4" s="3"/>
    </x:row>
    <x:row r="5" ht="31.5" customHeight="1">
      <x:c r="A5" s="6" t="str">
        <x:v>Test ID</x:v>
      </x:c>
      <x:c r="B5" s="6" t="str">
        <x:v>BRD IDs</x:v>
      </x:c>
      <x:c r="C5" s="6" t="str">
        <x:v>Design ID</x:v>
      </x:c>
      <x:c r="D5" s="6" t="str">
        <x:v>Title</x:v>
      </x:c>
      <x:c r="E5" s="6" t="str">
        <x:v>Type</x:v>
      </x:c>
      <x:c r="F5" s="6" t="str">
        <x:v>Priority</x:v>
      </x:c>
      <x:c r="G5" s="6" t="str">
        <x:v>Release</x:v>
      </x:c>
      <x:c r="H5" s="6" t="str">
        <x:v>Fixture</x:v>
      </x:c>
      <x:c r="I5" s="6" t="str">
        <x:v>Preconditions</x:v>
      </x:c>
      <x:c r="J5" s="6" t="str">
        <x:v>Steps</x:v>
      </x:c>
      <x:c r="K5" s="6" t="str">
        <x:v>Expected result</x:v>
      </x:c>
      <x:c r="L5" s="6" t="str">
        <x:v>Status</x:v>
      </x:c>
      <x:c r="M5" s="6" t="str">
        <x:v>Owner role</x:v>
      </x:c>
      <x:c r="N5" s="6" t="str">
        <x:v>Evidence link</x:v>
      </x:c>
      <x:c r="O5" s="6" t="str">
        <x:v>Defect ID</x:v>
      </x:c>
      <x:c r="P5" s="6" t="str">
        <x:v>Evidence present</x:v>
      </x:c>
    </x:row>
    <x:row r="6" ht="47.25" customHeight="1">
      <x:c r="A6" s="7" t="str">
        <x:v>TC-BR-UX-01-A</x:v>
      </x:c>
      <x:c r="B6" s="7" t="str">
        <x:v>BR-UX-01</x:v>
      </x:c>
      <x:c r="C6" s="7" t="str">
        <x:v>FR-UX-01</x:v>
      </x:c>
      <x:c r="D6" s="7" t="str">
        <x:v>One task entry point acceptance</x:v>
      </x:c>
      <x:c r="E6" s="7" t="str">
        <x:v>Functional</x:v>
      </x:c>
      <x:c r="F6" s="7" t="str">
        <x:v>Must</x:v>
      </x:c>
      <x:c r="G6" s="7" t="str">
        <x:v>R1</x:v>
      </x:c>
      <x:c r="H6" s="7" t="str">
        <x:v>FX-UX-01</x:v>
      </x:c>
      <x:c r="I6" s="7" t="str">
        <x:v>Synthetic tenant A; verified actor with intended scope; relevant pack and connector test profile active; reset fixture before execution.</x:v>
      </x:c>
      <x:c r="J6" s="7" t="str">
        <x:v>1. Load FX-UX-01. 2. The home screen groups tasks by person and encounter. Provider selection remains behind an eligible capability action. 3. Capture UI/API results and stored receipt or audit evidence.</x:v>
      </x:c>
      <x:c r="K6" s="7" t="str">
        <x:v>The approved multi-programme journey completes through one authenticated workspace with no separate AI login or manual transfer of patient details.</x:v>
      </x:c>
      <x:c r="L6" s="10" t="str">
        <x:v>Not run</x:v>
      </x:c>
      <x:c r="M6" s="10" t="str">
        <x:v>QA with Frontline worker</x:v>
      </x:c>
      <x:c r="N6" s="10"/>
      <x:c r="O6" s="10" t="str"/>
      <x:c r="P6" s="7" t="n">
        <x:f>IF(LEN(N6)&gt;0,1,0)</x:f>
        <x:v>0</x:v>
      </x:c>
    </x:row>
    <x:row r="7" ht="47.25" customHeight="1">
      <x:c r="A7" s="8" t="str">
        <x:v>TC-BR-UX-01-B</x:v>
      </x:c>
      <x:c r="B7" s="8" t="str">
        <x:v>BR-UX-01</x:v>
      </x:c>
      <x:c r="C7" s="8" t="str">
        <x:v>FR-UX-01</x:v>
      </x:c>
      <x:c r="D7" s="8" t="str">
        <x:v>One task entry point adverse condition</x:v>
      </x:c>
      <x:c r="E7" s="8" t="str">
        <x:v>Negative or recovery</x:v>
      </x:c>
      <x:c r="F7" s="8" t="str">
        <x:v>Must</x:v>
      </x:c>
      <x:c r="G7" s="8" t="str">
        <x:v>R1</x:v>
      </x:c>
      <x:c r="H7" s="8" t="str">
        <x:v>FX-UX-01-NEG</x:v>
      </x:c>
      <x:c r="I7" s="8" t="str">
        <x:v>Isolated synthetic tenant; begin from the corresponding acceptance scenario; inject only the named adverse condition.</x:v>
      </x:c>
      <x:c r="J7" s="8" t="str">
        <x:v>1. Establish the normal precondition. 2. Disable one programme destination while another remains available; the visit remains usable and displays the missing route. 3. Inspect user state, side effects, audit and any recovery queue.</x:v>
      </x:c>
      <x:c r="K7" s="8" t="str">
        <x:v>Disable one programme destination while another remains available; the visit remains usable and displays the missing route. Evidence must show the actual final state and any accountable unresolved work.</x:v>
      </x:c>
      <x:c r="L7" s="10" t="str">
        <x:v>Not run</x:v>
      </x:c>
      <x:c r="M7" s="10" t="str">
        <x:v>QA with Frontline worker</x:v>
      </x:c>
      <x:c r="N7" s="10" t="str"/>
      <x:c r="O7" s="10" t="str"/>
      <x:c r="P7" s="8" t="n">
        <x:f>IF(LEN(N7)&gt;0,1,0)</x:f>
        <x:v>0</x:v>
      </x:c>
    </x:row>
    <x:row r="8" ht="47.25" customHeight="1">
      <x:c r="A8" s="7" t="str">
        <x:v>TC-BR-UX-02-A</x:v>
      </x:c>
      <x:c r="B8" s="7" t="str">
        <x:v>BR-UX-02</x:v>
      </x:c>
      <x:c r="C8" s="7" t="str">
        <x:v>FR-UX-02</x:v>
      </x:c>
      <x:c r="D8" s="7" t="str">
        <x:v>Clear patient and visit context acceptance</x:v>
      </x:c>
      <x:c r="E8" s="7" t="str">
        <x:v>Functional</x:v>
      </x:c>
      <x:c r="F8" s="7" t="str">
        <x:v>Must</x:v>
      </x:c>
      <x:c r="G8" s="7" t="str">
        <x:v>R1</x:v>
      </x:c>
      <x:c r="H8" s="7" t="str">
        <x:v>FX-UX-02</x:v>
      </x:c>
      <x:c r="I8" s="7" t="str">
        <x:v>Synthetic tenant A; verified actor with intended scope; relevant pack and connector test profile active; reset fixture before execution.</x:v>
      </x:c>
      <x:c r="J8" s="7" t="str">
        <x:v>1. Load FX-UX-02. 2. Every patient-specific request carries person and encounter IDs validated against the active session context. 3. Capture UI/API results and stored receipt or audit evidence.</x:v>
      </x:c>
      <x:c r="K8" s="7" t="str">
        <x:v>Patient-switch tests cannot attach the prior person's recording, answer or AI result to the next person.</x:v>
      </x:c>
      <x:c r="L8" s="10" t="str">
        <x:v>Not run</x:v>
      </x:c>
      <x:c r="M8" s="10" t="str">
        <x:v>QA with Frontline worker</x:v>
      </x:c>
      <x:c r="N8" s="10" t="str"/>
      <x:c r="O8" s="10" t="str"/>
      <x:c r="P8" s="7" t="n">
        <x:f>IF(LEN(N8)&gt;0,1,0)</x:f>
        <x:v>0</x:v>
      </x:c>
    </x:row>
    <x:row r="9" ht="47.25" customHeight="1">
      <x:c r="A9" s="8" t="str">
        <x:v>TC-BR-UX-02-B</x:v>
      </x:c>
      <x:c r="B9" s="8" t="str">
        <x:v>BR-UX-02</x:v>
      </x:c>
      <x:c r="C9" s="8" t="str">
        <x:v>FR-UX-02</x:v>
      </x:c>
      <x:c r="D9" s="8" t="str">
        <x:v>Clear patient and visit context adverse condition</x:v>
      </x:c>
      <x:c r="E9" s="8" t="str">
        <x:v>Negative or recovery</x:v>
      </x:c>
      <x:c r="F9" s="8" t="str">
        <x:v>Must</x:v>
      </x:c>
      <x:c r="G9" s="8" t="str">
        <x:v>R1</x:v>
      </x:c>
      <x:c r="H9" s="8" t="str">
        <x:v>FX-UX-02-NEG</x:v>
      </x:c>
      <x:c r="I9" s="8" t="str">
        <x:v>Isolated synthetic tenant; begin from the corresponding acceptance scenario; inject only the named adverse condition.</x:v>
      </x:c>
      <x:c r="J9" s="8" t="str">
        <x:v>1. Establish the normal precondition. 2. Switch patients with an unsaved voice draft; the old draft must not appear in the new encounter. 3. Inspect user state, side effects, audit and any recovery queue.</x:v>
      </x:c>
      <x:c r="K9" s="8" t="str">
        <x:v>Switch patients with an unsaved voice draft; the old draft must not appear in the new encounter. Evidence must show the actual final state and any accountable unresolved work.</x:v>
      </x:c>
      <x:c r="L9" s="10" t="str">
        <x:v>Not run</x:v>
      </x:c>
      <x:c r="M9" s="10" t="str">
        <x:v>QA with Frontline worker</x:v>
      </x:c>
      <x:c r="N9" s="10" t="str"/>
      <x:c r="O9" s="10" t="str"/>
      <x:c r="P9" s="8" t="n">
        <x:f>IF(LEN(N9)&gt;0,1,0)</x:f>
        <x:v>0</x:v>
      </x:c>
    </x:row>
    <x:row r="10" ht="47.25" customHeight="1">
      <x:c r="A10" s="7" t="str">
        <x:v>TC-BR-UX-03-A</x:v>
      </x:c>
      <x:c r="B10" s="7" t="str">
        <x:v>BR-UX-03</x:v>
      </x:c>
      <x:c r="C10" s="7" t="str">
        <x:v>FR-UX-03</x:v>
      </x:c>
      <x:c r="D10" s="7" t="str">
        <x:v>Voice text and guided entry acceptance</x:v>
      </x:c>
      <x:c r="E10" s="7" t="str">
        <x:v>Functional</x:v>
      </x:c>
      <x:c r="F10" s="7" t="str">
        <x:v>Must</x:v>
      </x:c>
      <x:c r="G10" s="7" t="str">
        <x:v>R1</x:v>
      </x:c>
      <x:c r="H10" s="7" t="str">
        <x:v>FX-UX-03</x:v>
      </x:c>
      <x:c r="I10" s="7" t="str">
        <x:v>Synthetic tenant A; verified actor with intended scope; relevant pack and connector test profile active; reset fixture before execution.</x:v>
      </x:c>
      <x:c r="J10" s="7" t="str">
        <x:v>1. Load FX-UX-03. 2. Voice capture has visible start, stop, playback and discard actions; the same fields accept typed or guided input. 3. Capture UI/API results and stored receipt or audit evidence.</x:v>
      </x:c>
      <x:c r="K10" s="7" t="str">
        <x:v>A user completes each pilot journey without using a microphone and can review or correct a voice-derived value before confirmation.</x:v>
      </x:c>
      <x:c r="L10" s="10" t="str">
        <x:v>Not run</x:v>
      </x:c>
      <x:c r="M10" s="10" t="str">
        <x:v>QA with Frontline worker</x:v>
      </x:c>
      <x:c r="N10" s="10" t="str"/>
      <x:c r="O10" s="10" t="str"/>
      <x:c r="P10" s="7" t="n">
        <x:f>IF(LEN(N10)&gt;0,1,0)</x:f>
        <x:v>0</x:v>
      </x:c>
    </x:row>
    <x:row r="11" ht="47.25" customHeight="1">
      <x:c r="A11" s="8" t="str">
        <x:v>TC-BR-UX-03-B</x:v>
      </x:c>
      <x:c r="B11" s="8" t="str">
        <x:v>BR-UX-03</x:v>
      </x:c>
      <x:c r="C11" s="8" t="str">
        <x:v>FR-UX-03</x:v>
      </x:c>
      <x:c r="D11" s="8" t="str">
        <x:v>Voice text and guided entry adverse condition</x:v>
      </x:c>
      <x:c r="E11" s="8" t="str">
        <x:v>Negative or recovery</x:v>
      </x:c>
      <x:c r="F11" s="8" t="str">
        <x:v>Must</x:v>
      </x:c>
      <x:c r="G11" s="8" t="str">
        <x:v>R1</x:v>
      </x:c>
      <x:c r="H11" s="8" t="str">
        <x:v>FX-UX-03-NEG</x:v>
      </x:c>
      <x:c r="I11" s="8" t="str">
        <x:v>Isolated synthetic tenant; begin from the corresponding acceptance scenario; inject only the named adverse condition.</x:v>
      </x:c>
      <x:c r="J11" s="8" t="str">
        <x:v>1. Establish the normal precondition. 2. Deny microphone permission and complete the encounter with guided input. 3. Inspect user state, side effects, audit and any recovery queue.</x:v>
      </x:c>
      <x:c r="K11" s="8" t="str">
        <x:v>Deny microphone permission and complete the encounter with guided input. Evidence must show the actual final state and any accountable unresolved work.</x:v>
      </x:c>
      <x:c r="L11" s="10" t="str">
        <x:v>Not run</x:v>
      </x:c>
      <x:c r="M11" s="10" t="str">
        <x:v>QA with Frontline worker</x:v>
      </x:c>
      <x:c r="N11" s="10" t="str"/>
      <x:c r="O11" s="10" t="str"/>
      <x:c r="P11" s="8" t="n">
        <x:f>IF(LEN(N11)&gt;0,1,0)</x:f>
        <x:v>0</x:v>
      </x:c>
    </x:row>
    <x:row r="12" ht="47.25" customHeight="1">
      <x:c r="A12" s="7" t="str">
        <x:v>TC-BR-UX-04-A</x:v>
      </x:c>
      <x:c r="B12" s="7" t="str">
        <x:v>BR-UX-04</x:v>
      </x:c>
      <x:c r="C12" s="7" t="str">
        <x:v>FR-UX-04</x:v>
      </x:c>
      <x:c r="D12" s="7" t="str">
        <x:v>Structured encounter summary acceptance</x:v>
      </x:c>
      <x:c r="E12" s="7" t="str">
        <x:v>Functional</x:v>
      </x:c>
      <x:c r="F12" s="7" t="str">
        <x:v>Must</x:v>
      </x:c>
      <x:c r="G12" s="7" t="str">
        <x:v>R1</x:v>
      </x:c>
      <x:c r="H12" s="7" t="str">
        <x:v>FX-UX-04</x:v>
      </x:c>
      <x:c r="I12" s="7" t="str">
        <x:v>Synthetic tenant A; verified actor with intended scope; relevant pack and connector test profile active; reset fixture before execution.</x:v>
      </x:c>
      <x:c r="J12" s="7" t="str">
        <x:v>1. Load FX-UX-04. 2. The summary has confirmed facts, unresolved facts, recommendations and external actions as four distinct groups. 3. Capture UI/API results and stored receipt or audit evidence.</x:v>
      </x:c>
      <x:c r="K12" s="7" t="str">
        <x:v>Usability participants can identify the next required step and each unresolved field without searching a transcript.</x:v>
      </x:c>
      <x:c r="L12" s="10" t="str">
        <x:v>Not run</x:v>
      </x:c>
      <x:c r="M12" s="10" t="str">
        <x:v>QA with Frontline worker</x:v>
      </x:c>
      <x:c r="N12" s="10" t="str"/>
      <x:c r="O12" s="10" t="str"/>
      <x:c r="P12" s="7" t="n">
        <x:f>IF(LEN(N12)&gt;0,1,0)</x:f>
        <x:v>0</x:v>
      </x:c>
    </x:row>
    <x:row r="13" ht="47.25" customHeight="1">
      <x:c r="A13" s="8" t="str">
        <x:v>TC-BR-UX-04-B</x:v>
      </x:c>
      <x:c r="B13" s="8" t="str">
        <x:v>BR-UX-04</x:v>
      </x:c>
      <x:c r="C13" s="8" t="str">
        <x:v>FR-UX-04</x:v>
      </x:c>
      <x:c r="D13" s="8" t="str">
        <x:v>Structured encounter summary adverse condition</x:v>
      </x:c>
      <x:c r="E13" s="8" t="str">
        <x:v>Negative or recovery</x:v>
      </x:c>
      <x:c r="F13" s="8" t="str">
        <x:v>Must</x:v>
      </x:c>
      <x:c r="G13" s="8" t="str">
        <x:v>R1</x:v>
      </x:c>
      <x:c r="H13" s="8" t="str">
        <x:v>FX-UX-04-NEG</x:v>
      </x:c>
      <x:c r="I13" s="8" t="str">
        <x:v>Isolated synthetic tenant; begin from the corresponding acceptance scenario; inject only the named adverse condition.</x:v>
      </x:c>
      <x:c r="J13" s="8" t="str">
        <x:v>1. Establish the normal precondition. 2. Supply an uncertain date and an AI suggestion; neither may render as a confirmed observation. 3. Inspect user state, side effects, audit and any recovery queue.</x:v>
      </x:c>
      <x:c r="K13" s="8" t="str">
        <x:v>Supply an uncertain date and an AI suggestion; neither may render as a confirmed observation. Evidence must show the actual final state and any accountable unresolved work.</x:v>
      </x:c>
      <x:c r="L13" s="10" t="str">
        <x:v>Not run</x:v>
      </x:c>
      <x:c r="M13" s="10" t="str">
        <x:v>QA with Frontline worker</x:v>
      </x:c>
      <x:c r="N13" s="10" t="str"/>
      <x:c r="O13" s="10" t="str"/>
      <x:c r="P13" s="8" t="n">
        <x:f>IF(LEN(N13)&gt;0,1,0)</x:f>
        <x:v>0</x:v>
      </x:c>
    </x:row>
    <x:row r="14" ht="47.25" customHeight="1">
      <x:c r="A14" s="7" t="str">
        <x:v>TC-BR-UX-05-A</x:v>
      </x:c>
      <x:c r="B14" s="7" t="str">
        <x:v>BR-UX-05</x:v>
      </x:c>
      <x:c r="C14" s="7" t="str">
        <x:v>FR-UX-05</x:v>
      </x:c>
      <x:c r="D14" s="7" t="str">
        <x:v>Language and accessibility acceptance</x:v>
      </x:c>
      <x:c r="E14" s="7" t="str">
        <x:v>Functional</x:v>
      </x:c>
      <x:c r="F14" s="7" t="str">
        <x:v>Must</x:v>
      </x:c>
      <x:c r="G14" s="7" t="str">
        <x:v>R1</x:v>
      </x:c>
      <x:c r="H14" s="7" t="str">
        <x:v>FX-UX-05</x:v>
      </x:c>
      <x:c r="I14" s="7" t="str">
        <x:v>Synthetic tenant A; verified actor with intended scope; relevant pack and connector test profile active; reset fixture before execution.</x:v>
      </x:c>
      <x:c r="J14" s="7" t="str">
        <x:v>1. Load FX-UX-05. 2. Language is a user preference; concepts and numeric values are language-neutral. Reviewed clinical strings have version IDs. 3. Capture UI/API results and stored receipt or audit evidence.</x:v>
      </x:c>
      <x:c r="K14" s="7" t="str">
        <x:v>The same encounter retains meaning across supported languages and passes the defined accessibility and language-specific task tests.</x:v>
      </x:c>
      <x:c r="L14" s="10" t="str">
        <x:v>Not run</x:v>
      </x:c>
      <x:c r="M14" s="10" t="str">
        <x:v>QA with Frontline worker</x:v>
      </x:c>
      <x:c r="N14" s="10" t="str"/>
      <x:c r="O14" s="10" t="str"/>
      <x:c r="P14" s="7" t="n">
        <x:f>IF(LEN(N14)&gt;0,1,0)</x:f>
        <x:v>0</x:v>
      </x:c>
    </x:row>
    <x:row r="15" ht="47.25" customHeight="1">
      <x:c r="A15" s="8" t="str">
        <x:v>TC-BR-UX-05-B</x:v>
      </x:c>
      <x:c r="B15" s="8" t="str">
        <x:v>BR-UX-05</x:v>
      </x:c>
      <x:c r="C15" s="8" t="str">
        <x:v>FR-UX-05</x:v>
      </x:c>
      <x:c r="D15" s="8" t="str">
        <x:v>Language and accessibility adverse condition</x:v>
      </x:c>
      <x:c r="E15" s="8" t="str">
        <x:v>Negative or recovery</x:v>
      </x:c>
      <x:c r="F15" s="8" t="str">
        <x:v>Must</x:v>
      </x:c>
      <x:c r="G15" s="8" t="str">
        <x:v>R1</x:v>
      </x:c>
      <x:c r="H15" s="8" t="str">
        <x:v>FX-UX-05-NEG</x:v>
      </x:c>
      <x:c r="I15" s="8" t="str">
        <x:v>Isolated synthetic tenant; begin from the corresponding acceptance scenario; inject only the named adverse condition.</x:v>
      </x:c>
      <x:c r="J15" s="8" t="str">
        <x:v>1. Establish the normal precondition. 2. Switch language after entering a decimal measurement; the value and unit remain identical. 3. Inspect user state, side effects, audit and any recovery queue.</x:v>
      </x:c>
      <x:c r="K15" s="8" t="str">
        <x:v>Switch language after entering a decimal measurement; the value and unit remain identical. Evidence must show the actual final state and any accountable unresolved work.</x:v>
      </x:c>
      <x:c r="L15" s="10" t="str">
        <x:v>Not run</x:v>
      </x:c>
      <x:c r="M15" s="10" t="str">
        <x:v>QA with Frontline worker</x:v>
      </x:c>
      <x:c r="N15" s="10" t="str"/>
      <x:c r="O15" s="10" t="str"/>
      <x:c r="P15" s="8" t="n">
        <x:f>IF(LEN(N15)&gt;0,1,0)</x:f>
        <x:v>0</x:v>
      </x:c>
    </x:row>
    <x:row r="16" ht="47.25" customHeight="1">
      <x:c r="A16" s="7" t="str">
        <x:v>TC-BR-UX-06-A</x:v>
      </x:c>
      <x:c r="B16" s="7" t="str">
        <x:v>BR-UX-06</x:v>
      </x:c>
      <x:c r="C16" s="7" t="str">
        <x:v>FR-UX-06</x:v>
      </x:c>
      <x:c r="D16" s="7" t="str">
        <x:v>Status that reflects reality acceptance</x:v>
      </x:c>
      <x:c r="E16" s="7" t="str">
        <x:v>Functional</x:v>
      </x:c>
      <x:c r="F16" s="7" t="str">
        <x:v>Must</x:v>
      </x:c>
      <x:c r="G16" s="7" t="str">
        <x:v>R1</x:v>
      </x:c>
      <x:c r="H16" s="7" t="str">
        <x:v>FX-UX-06</x:v>
      </x:c>
      <x:c r="I16" s="7" t="str">
        <x:v>Synthetic tenant A; verified actor with intended scope; relevant pack and connector test profile active; reset fixture before execution.</x:v>
      </x:c>
      <x:c r="J16" s="7" t="str">
        <x:v>1. Load FX-UX-06. 2. Show one state per destination plus a separate encounter-save state. Completion derives from required actions. 3. Capture UI/API results and stored receipt or audit evidence.</x:v>
      </x:c>
      <x:c r="K16" s="7" t="str">
        <x:v>Simultaneous success in one programme and failure in another produces separate visible statuses and a specific recovery action.</x:v>
      </x:c>
      <x:c r="L16" s="10" t="str">
        <x:v>Not run</x:v>
      </x:c>
      <x:c r="M16" s="10" t="str">
        <x:v>QA with Frontline worker</x:v>
      </x:c>
      <x:c r="N16" s="10" t="str"/>
      <x:c r="O16" s="10" t="str"/>
      <x:c r="P16" s="7" t="n">
        <x:f>IF(LEN(N16)&gt;0,1,0)</x:f>
        <x:v>0</x:v>
      </x:c>
    </x:row>
    <x:row r="17" ht="47.25" customHeight="1">
      <x:c r="A17" s="8" t="str">
        <x:v>TC-BR-UX-06-B</x:v>
      </x:c>
      <x:c r="B17" s="8" t="str">
        <x:v>BR-UX-06</x:v>
      </x:c>
      <x:c r="C17" s="8" t="str">
        <x:v>FR-UX-06</x:v>
      </x:c>
      <x:c r="D17" s="8" t="str">
        <x:v>Status that reflects reality adverse condition</x:v>
      </x:c>
      <x:c r="E17" s="8" t="str">
        <x:v>Negative or recovery</x:v>
      </x:c>
      <x:c r="F17" s="8" t="str">
        <x:v>Must</x:v>
      </x:c>
      <x:c r="G17" s="8" t="str">
        <x:v>R1</x:v>
      </x:c>
      <x:c r="H17" s="8" t="str">
        <x:v>FX-UX-06-NEG</x:v>
      </x:c>
      <x:c r="I17" s="8" t="str">
        <x:v>Isolated synthetic tenant; begin from the corresponding acceptance scenario; inject only the named adverse condition.</x:v>
      </x:c>
      <x:c r="J17" s="8" t="str">
        <x:v>1. Establish the normal precondition. 2. Accept destination A and reject B; no overall all-submitted status may appear. 3. Inspect user state, side effects, audit and any recovery queue.</x:v>
      </x:c>
      <x:c r="K17" s="8" t="str">
        <x:v>Accept destination A and reject B; no overall all-submitted status may appear. Evidence must show the actual final state and any accountable unresolved work.</x:v>
      </x:c>
      <x:c r="L17" s="10" t="str">
        <x:v>Not run</x:v>
      </x:c>
      <x:c r="M17" s="10" t="str">
        <x:v>QA with Frontline worker</x:v>
      </x:c>
      <x:c r="N17" s="10" t="str"/>
      <x:c r="O17" s="10" t="str"/>
      <x:c r="P17" s="8" t="n">
        <x:f>IF(LEN(N17)&gt;0,1,0)</x:f>
        <x:v>0</x:v>
      </x:c>
    </x:row>
    <x:row r="18" ht="47.25" customHeight="1">
      <x:c r="A18" s="7" t="str">
        <x:v>TC-BR-UX-07-A</x:v>
      </x:c>
      <x:c r="B18" s="7" t="str">
        <x:v>BR-UX-07</x:v>
      </x:c>
      <x:c r="C18" s="7" t="str">
        <x:v>FR-UX-07</x:v>
      </x:c>
      <x:c r="D18" s="7" t="str">
        <x:v>Resume interrupted work acceptance</x:v>
      </x:c>
      <x:c r="E18" s="7" t="str">
        <x:v>Functional</x:v>
      </x:c>
      <x:c r="F18" s="7" t="str">
        <x:v>Must</x:v>
      </x:c>
      <x:c r="G18" s="7" t="str">
        <x:v>R1</x:v>
      </x:c>
      <x:c r="H18" s="7" t="str">
        <x:v>FX-UX-07</x:v>
      </x:c>
      <x:c r="I18" s="7" t="str">
        <x:v>Synthetic tenant A; verified actor with intended scope; relevant pack and connector test profile active; reset fixture before execution.</x:v>
      </x:c>
      <x:c r="J18" s="7" t="str">
        <x:v>1. Load FX-UX-07. 2. Persist a draft revision after each committed field change and store the last completed workflow step. 3. Capture UI/API results and stored receipt or audit evidence.</x:v>
      </x:c>
      <x:c r="K18" s="7" t="str">
        <x:v>App restart, incoming call and network-loss scenarios retain every field previously shown as durably saved.</x:v>
      </x:c>
      <x:c r="L18" s="10" t="str">
        <x:v>Not run</x:v>
      </x:c>
      <x:c r="M18" s="10" t="str">
        <x:v>QA with Frontline worker</x:v>
      </x:c>
      <x:c r="N18" s="10" t="str"/>
      <x:c r="O18" s="10" t="str"/>
      <x:c r="P18" s="7" t="n">
        <x:f>IF(LEN(N18)&gt;0,1,0)</x:f>
        <x:v>0</x:v>
      </x:c>
    </x:row>
    <x:row r="19" ht="47.25" customHeight="1">
      <x:c r="A19" s="8" t="str">
        <x:v>TC-BR-UX-07-B</x:v>
      </x:c>
      <x:c r="B19" s="8" t="str">
        <x:v>BR-UX-07</x:v>
      </x:c>
      <x:c r="C19" s="8" t="str">
        <x:v>FR-UX-07</x:v>
      </x:c>
      <x:c r="D19" s="8" t="str">
        <x:v>Resume interrupted work adverse condition</x:v>
      </x:c>
      <x:c r="E19" s="8" t="str">
        <x:v>Negative or recovery</x:v>
      </x:c>
      <x:c r="F19" s="8" t="str">
        <x:v>Must</x:v>
      </x:c>
      <x:c r="G19" s="8" t="str">
        <x:v>R1</x:v>
      </x:c>
      <x:c r="H19" s="8" t="str">
        <x:v>FX-UX-07-NEG</x:v>
      </x:c>
      <x:c r="I19" s="8" t="str">
        <x:v>Isolated synthetic tenant; begin from the corresponding acceptance scenario; inject only the named adverse condition.</x:v>
      </x:c>
      <x:c r="J19" s="8" t="str">
        <x:v>1. Establish the normal precondition. 2. Terminate the application after a successful local save and before sync; reopen the same draft revision. 3. Inspect user state, side effects, audit and any recovery queue.</x:v>
      </x:c>
      <x:c r="K19" s="8" t="str">
        <x:v>Terminate the application after a successful local save and before sync; reopen the same draft revision. Evidence must show the actual final state and any accountable unresolved work.</x:v>
      </x:c>
      <x:c r="L19" s="10" t="str">
        <x:v>Not run</x:v>
      </x:c>
      <x:c r="M19" s="10" t="str">
        <x:v>QA with Frontline worker</x:v>
      </x:c>
      <x:c r="N19" s="10" t="str"/>
      <x:c r="O19" s="10" t="str"/>
      <x:c r="P19" s="8" t="n">
        <x:f>IF(LEN(N19)&gt;0,1,0)</x:f>
        <x:v>0</x:v>
      </x:c>
    </x:row>
    <x:row r="20" ht="47.25" customHeight="1">
      <x:c r="A20" s="7" t="str">
        <x:v>TC-BR-UX-08-A</x:v>
      </x:c>
      <x:c r="B20" s="7" t="str">
        <x:v>BR-UX-08</x:v>
      </x:c>
      <x:c r="C20" s="7" t="str">
        <x:v>FR-UX-08</x:v>
      </x:c>
      <x:c r="D20" s="7" t="str">
        <x:v>Low literacy and field use acceptance</x:v>
      </x:c>
      <x:c r="E20" s="7" t="str">
        <x:v>Functional</x:v>
      </x:c>
      <x:c r="F20" s="7" t="str">
        <x:v>Should</x:v>
      </x:c>
      <x:c r="G20" s="7" t="str">
        <x:v>R1</x:v>
      </x:c>
      <x:c r="H20" s="7" t="str">
        <x:v>FX-UX-08</x:v>
      </x:c>
      <x:c r="I20" s="7" t="str">
        <x:v>Synthetic tenant A; verified actor with intended scope; relevant pack and connector test profile active; reset fixture before execution.</x:v>
      </x:c>
      <x:c r="J20" s="7" t="str">
        <x:v>1. Load FX-UX-08. 2. Critical actions use short labels and text plus icon status. Optional audio guidance stops before private playback. 3. Capture UI/API results and stored receipt or audit evidence.</x:v>
      </x:c>
      <x:c r="K20" s="7" t="str">
        <x:v>Representative workers complete the principal tasks under the defined field usability protocol, including noisy and private-entry conditions.</x:v>
      </x:c>
      <x:c r="L20" s="10" t="str">
        <x:v>Not run</x:v>
      </x:c>
      <x:c r="M20" s="10" t="str">
        <x:v>QA with Frontline worker</x:v>
      </x:c>
      <x:c r="N20" s="10" t="str"/>
      <x:c r="O20" s="10" t="str"/>
      <x:c r="P20" s="7" t="n">
        <x:f>IF(LEN(N20)&gt;0,1,0)</x:f>
        <x:v>0</x:v>
      </x:c>
    </x:row>
    <x:row r="21" ht="47.25" customHeight="1">
      <x:c r="A21" s="8" t="str">
        <x:v>TC-BR-UX-08-B</x:v>
      </x:c>
      <x:c r="B21" s="8" t="str">
        <x:v>BR-UX-08</x:v>
      </x:c>
      <x:c r="C21" s="8" t="str">
        <x:v>FR-UX-08</x:v>
      </x:c>
      <x:c r="D21" s="8" t="str">
        <x:v>Low literacy and field use adverse condition</x:v>
      </x:c>
      <x:c r="E21" s="8" t="str">
        <x:v>Negative or recovery</x:v>
      </x:c>
      <x:c r="F21" s="8" t="str">
        <x:v>Should</x:v>
      </x:c>
      <x:c r="G21" s="8" t="str">
        <x:v>R1</x:v>
      </x:c>
      <x:c r="H21" s="8" t="str">
        <x:v>FX-UX-08-NEG</x:v>
      </x:c>
      <x:c r="I21" s="8" t="str">
        <x:v>Isolated synthetic tenant; begin from the corresponding acceptance scenario; inject only the named adverse condition.</x:v>
      </x:c>
      <x:c r="J21" s="8" t="str">
        <x:v>1. Establish the normal precondition. 2. Use the flow with colour perception disabled and a shared-device privacy setting; status remains understandable. 3. Inspect user state, side effects, audit and any recovery queue.</x:v>
      </x:c>
      <x:c r="K21" s="8" t="str">
        <x:v>Use the flow with colour perception disabled and a shared-device privacy setting; status remains understandable. Evidence must show the actual final state and any accountable unresolved work.</x:v>
      </x:c>
      <x:c r="L21" s="10" t="str">
        <x:v>Not run</x:v>
      </x:c>
      <x:c r="M21" s="10" t="str">
        <x:v>QA with Frontline worker</x:v>
      </x:c>
      <x:c r="N21" s="10" t="str"/>
      <x:c r="O21" s="10" t="str"/>
      <x:c r="P21" s="8" t="n">
        <x:f>IF(LEN(N21)&gt;0,1,0)</x:f>
        <x:v>0</x:v>
      </x:c>
    </x:row>
    <x:row r="22" ht="47.25" customHeight="1">
      <x:c r="A22" s="7" t="str">
        <x:v>TC-BR-UX-09-A</x:v>
      </x:c>
      <x:c r="B22" s="7" t="str">
        <x:v>BR-UX-09</x:v>
      </x:c>
      <x:c r="C22" s="7" t="str">
        <x:v>FR-UX-09</x:v>
      </x:c>
      <x:c r="D22" s="7" t="str">
        <x:v>Explainable action review acceptance</x:v>
      </x:c>
      <x:c r="E22" s="7" t="str">
        <x:v>Functional</x:v>
      </x:c>
      <x:c r="F22" s="7" t="str">
        <x:v>Must</x:v>
      </x:c>
      <x:c r="G22" s="7" t="str">
        <x:v>R1</x:v>
      </x:c>
      <x:c r="H22" s="7" t="str">
        <x:v>FX-UX-09</x:v>
      </x:c>
      <x:c r="I22" s="7" t="str">
        <x:v>Synthetic tenant A; verified actor with intended scope; relevant pack and connector test profile active; reset fixture before execution.</x:v>
      </x:c>
      <x:c r="J22" s="7" t="str">
        <x:v>1. Load FX-UX-09. 2. Approval review lists purpose, recipient and exact record revisions. The worker can exclude an optional action. 3. Capture UI/API results and stored receipt or audit evidence.</x:v>
      </x:c>
      <x:c r="K22" s="7" t="str">
        <x:v>A worker can exclude one proposed destination or edit one fact before confirming the remaining permitted action bundle.</x:v>
      </x:c>
      <x:c r="L22" s="10" t="str">
        <x:v>Not run</x:v>
      </x:c>
      <x:c r="M22" s="10" t="str">
        <x:v>QA with Frontline worker</x:v>
      </x:c>
      <x:c r="N22" s="10" t="str"/>
      <x:c r="O22" s="10" t="str"/>
      <x:c r="P22" s="7" t="n">
        <x:f>IF(LEN(N22)&gt;0,1,0)</x:f>
        <x:v>0</x:v>
      </x:c>
    </x:row>
    <x:row r="23" ht="47.25" customHeight="1">
      <x:c r="A23" s="8" t="str">
        <x:v>TC-BR-UX-09-B</x:v>
      </x:c>
      <x:c r="B23" s="8" t="str">
        <x:v>BR-UX-09</x:v>
      </x:c>
      <x:c r="C23" s="8" t="str">
        <x:v>FR-UX-09</x:v>
      </x:c>
      <x:c r="D23" s="8" t="str">
        <x:v>Explainable action review adverse condition</x:v>
      </x:c>
      <x:c r="E23" s="8" t="str">
        <x:v>Negative or recovery</x:v>
      </x:c>
      <x:c r="F23" s="8" t="str">
        <x:v>Must</x:v>
      </x:c>
      <x:c r="G23" s="8" t="str">
        <x:v>R1</x:v>
      </x:c>
      <x:c r="H23" s="8" t="str">
        <x:v>FX-UX-09-NEG</x:v>
      </x:c>
      <x:c r="I23" s="8" t="str">
        <x:v>Isolated synthetic tenant; begin from the corresponding acceptance scenario; inject only the named adverse condition.</x:v>
      </x:c>
      <x:c r="J23" s="8" t="str">
        <x:v>1. Establish the normal precondition. 2. Change the recipient after approval; execution must require a fresh review. 3. Inspect user state, side effects, audit and any recovery queue.</x:v>
      </x:c>
      <x:c r="K23" s="8" t="str">
        <x:v>Change the recipient after approval; execution must require a fresh review. Evidence must show the actual final state and any accountable unresolved work.</x:v>
      </x:c>
      <x:c r="L23" s="10" t="str">
        <x:v>Not run</x:v>
      </x:c>
      <x:c r="M23" s="10" t="str">
        <x:v>QA with Frontline worker</x:v>
      </x:c>
      <x:c r="N23" s="10" t="str"/>
      <x:c r="O23" s="10" t="str"/>
      <x:c r="P23" s="8" t="n">
        <x:f>IF(LEN(N23)&gt;0,1,0)</x:f>
        <x:v>0</x:v>
      </x:c>
    </x:row>
    <x:row r="24" ht="47.25" customHeight="1">
      <x:c r="A24" s="7" t="str">
        <x:v>TC-BR-ID-01-A</x:v>
      </x:c>
      <x:c r="B24" s="7" t="str">
        <x:v>BR-ID-01</x:v>
      </x:c>
      <x:c r="C24" s="7" t="str">
        <x:v>FR-ID-01</x:v>
      </x:c>
      <x:c r="D24" s="7" t="str">
        <x:v>Workforce lifecycle acceptance</x:v>
      </x:c>
      <x:c r="E24" s="7" t="str">
        <x:v>Functional</x:v>
      </x:c>
      <x:c r="F24" s="7" t="str">
        <x:v>Must</x:v>
      </x:c>
      <x:c r="G24" s="7" t="str">
        <x:v>R1</x:v>
      </x:c>
      <x:c r="H24" s="7" t="str">
        <x:v>FX-ID-01</x:v>
      </x:c>
      <x:c r="I24" s="7" t="str">
        <x:v>Synthetic tenant A; verified actor with intended scope; relevant pack and connector test profile active; reset fixture before execution.</x:v>
      </x:c>
      <x:c r="J24" s="7" t="str">
        <x:v>1. Load FX-ID-01. 2. Membership activation follows institutional verification; suspension increments a revocation version consumed by all services. 3. Capture UI/API results and stored receipt or audit evidence.</x:v>
      </x:c>
      <x:c r="K24" s="7" t="str">
        <x:v>A suspended user's online access and pending privileged actions are revoked within the NFR limit, with offline limits disclosed.</x:v>
      </x:c>
      <x:c r="L24" s="10" t="str">
        <x:v>Not run</x:v>
      </x:c>
      <x:c r="M24" s="10" t="str">
        <x:v>QA with Deployment administrator and identity steward</x:v>
      </x:c>
      <x:c r="N24" s="10" t="str"/>
      <x:c r="O24" s="10" t="str"/>
      <x:c r="P24" s="7" t="n">
        <x:f>IF(LEN(N24)&gt;0,1,0)</x:f>
        <x:v>0</x:v>
      </x:c>
    </x:row>
    <x:row r="25" ht="47.25" customHeight="1">
      <x:c r="A25" s="8" t="str">
        <x:v>TC-BR-ID-01-B</x:v>
      </x:c>
      <x:c r="B25" s="8" t="str">
        <x:v>BR-ID-01</x:v>
      </x:c>
      <x:c r="C25" s="8" t="str">
        <x:v>FR-ID-01</x:v>
      </x:c>
      <x:c r="D25" s="8" t="str">
        <x:v>Workforce lifecycle adverse condition</x:v>
      </x:c>
      <x:c r="E25" s="8" t="str">
        <x:v>Negative or recovery</x:v>
      </x:c>
      <x:c r="F25" s="8" t="str">
        <x:v>Must</x:v>
      </x:c>
      <x:c r="G25" s="8" t="str">
        <x:v>R1</x:v>
      </x:c>
      <x:c r="H25" s="8" t="str">
        <x:v>FX-ID-01-NEG</x:v>
      </x:c>
      <x:c r="I25" s="8" t="str">
        <x:v>Isolated synthetic tenant; begin from the corresponding acceptance scenario; inject only the named adverse condition.</x:v>
      </x:c>
      <x:c r="J25" s="8" t="str">
        <x:v>1. Establish the normal precondition. 2. Suspend a user with an active browser session and queued work; new online actions stop within the BRD limit. 3. Inspect user state, side effects, audit and any recovery queue.</x:v>
      </x:c>
      <x:c r="K25" s="8" t="str">
        <x:v>Suspend a user with an active browser session and queued work; new online actions stop within the BRD limit. Evidence must show the actual final state and any accountable unresolved work.</x:v>
      </x:c>
      <x:c r="L25" s="10" t="str">
        <x:v>Not run</x:v>
      </x:c>
      <x:c r="M25" s="10" t="str">
        <x:v>QA with Deployment administrator and identity steward</x:v>
      </x:c>
      <x:c r="N25" s="10" t="str"/>
      <x:c r="O25" s="10" t="str"/>
      <x:c r="P25" s="8" t="n">
        <x:f>IF(LEN(N25)&gt;0,1,0)</x:f>
        <x:v>0</x:v>
      </x:c>
    </x:row>
    <x:row r="26" ht="47.25" customHeight="1">
      <x:c r="A26" s="7" t="str">
        <x:v>TC-BR-ID-02-A</x:v>
      </x:c>
      <x:c r="B26" s="7" t="str">
        <x:v>BR-ID-02</x:v>
      </x:c>
      <x:c r="C26" s="7" t="str">
        <x:v>FR-ID-02</x:v>
      </x:c>
      <x:c r="D26" s="7" t="str">
        <x:v>Scoped permissions acceptance</x:v>
      </x:c>
      <x:c r="E26" s="7" t="str">
        <x:v>Functional</x:v>
      </x:c>
      <x:c r="F26" s="7" t="str">
        <x:v>Must</x:v>
      </x:c>
      <x:c r="G26" s="7" t="str">
        <x:v>R1</x:v>
      </x:c>
      <x:c r="H26" s="7" t="str">
        <x:v>FX-ID-02</x:v>
      </x:c>
      <x:c r="I26" s="7" t="str">
        <x:v>Synthetic tenant A; verified actor with intended scope; relevant pack and connector test profile active; reset fixture before execution.</x:v>
      </x:c>
      <x:c r="J26" s="7" t="str">
        <x:v>1. Load FX-ID-02. 2. Policy input includes tenant, active role, assignment, programme, facility, purpose, action and resource sensitivity. 3. Capture UI/API results and stored receipt or audit evidence.</x:v>
      </x:c>
      <x:c r="K26" s="7" t="str">
        <x:v>Negative tests cover each boundary and prove that hidden screens or manipulated requests cannot expand access.</x:v>
      </x:c>
      <x:c r="L26" s="10" t="str">
        <x:v>Not run</x:v>
      </x:c>
      <x:c r="M26" s="10" t="str">
        <x:v>QA with Deployment administrator and identity steward</x:v>
      </x:c>
      <x:c r="N26" s="10" t="str"/>
      <x:c r="O26" s="10" t="str"/>
      <x:c r="P26" s="7" t="n">
        <x:f>IF(LEN(N26)&gt;0,1,0)</x:f>
        <x:v>0</x:v>
      </x:c>
    </x:row>
    <x:row r="27" ht="47.25" customHeight="1">
      <x:c r="A27" s="8" t="str">
        <x:v>TC-BR-ID-02-B</x:v>
      </x:c>
      <x:c r="B27" s="8" t="str">
        <x:v>BR-ID-02</x:v>
      </x:c>
      <x:c r="C27" s="8" t="str">
        <x:v>FR-ID-02</x:v>
      </x:c>
      <x:c r="D27" s="8" t="str">
        <x:v>Scoped permissions adverse condition</x:v>
      </x:c>
      <x:c r="E27" s="8" t="str">
        <x:v>Negative or recovery</x:v>
      </x:c>
      <x:c r="F27" s="8" t="str">
        <x:v>Must</x:v>
      </x:c>
      <x:c r="G27" s="8" t="str">
        <x:v>R1</x:v>
      </x:c>
      <x:c r="H27" s="8" t="str">
        <x:v>FX-ID-02-NEG</x:v>
      </x:c>
      <x:c r="I27" s="8" t="str">
        <x:v>Isolated synthetic tenant; begin from the corresponding acceptance scenario; inject only the named adverse condition.</x:v>
      </x:c>
      <x:c r="J27" s="8" t="str">
        <x:v>1. Establish the normal precondition. 2. Guess a valid record ID outside the assigned caseload; deny access without revealing record content. 3. Inspect user state, side effects, audit and any recovery queue.</x:v>
      </x:c>
      <x:c r="K27" s="8" t="str">
        <x:v>Guess a valid record ID outside the assigned caseload; deny access without revealing record content. Evidence must show the actual final state and any accountable unresolved work.</x:v>
      </x:c>
      <x:c r="L27" s="10" t="str">
        <x:v>Not run</x:v>
      </x:c>
      <x:c r="M27" s="10" t="str">
        <x:v>QA with Deployment administrator and identity steward</x:v>
      </x:c>
      <x:c r="N27" s="10" t="str"/>
      <x:c r="O27" s="10" t="str"/>
      <x:c r="P27" s="8" t="n">
        <x:f>IF(LEN(N27)&gt;0,1,0)</x:f>
        <x:v>0</x:v>
      </x:c>
    </x:row>
    <x:row r="28" ht="47.25" customHeight="1">
      <x:c r="A28" s="7" t="str">
        <x:v>TC-BR-ID-03-A</x:v>
      </x:c>
      <x:c r="B28" s="7" t="str">
        <x:v>BR-ID-03</x:v>
      </x:c>
      <x:c r="C28" s="7" t="str">
        <x:v>FR-ID-03</x:v>
      </x:c>
      <x:c r="D28" s="7" t="str">
        <x:v>Authentication and recovery acceptance</x:v>
      </x:c>
      <x:c r="E28" s="7" t="str">
        <x:v>Functional</x:v>
      </x:c>
      <x:c r="F28" s="7" t="str">
        <x:v>Must</x:v>
      </x:c>
      <x:c r="G28" s="7" t="str">
        <x:v>R1</x:v>
      </x:c>
      <x:c r="H28" s="7" t="str">
        <x:v>FX-ID-03</x:v>
      </x:c>
      <x:c r="I28" s="7" t="str">
        <x:v>Synthetic tenant A; verified actor with intended scope; relevant pack and connector test profile active; reset fixture before execution.</x:v>
      </x:c>
      <x:c r="J28" s="7" t="str">
        <x:v>1. Load FX-ID-03. 2. Use verified institutional authentication. Privileged users require MFA and recovery invalidates old sessions and devices. 3. Capture UI/API results and stored receipt or audit evidence.</x:v>
      </x:c>
      <x:c r="K28" s="7" t="str">
        <x:v>Recovery cannot be completed using patient data or a shared phone number alone; privileged access remains blocked without the required factor.</x:v>
      </x:c>
      <x:c r="L28" s="10" t="str">
        <x:v>Not run</x:v>
      </x:c>
      <x:c r="M28" s="10" t="str">
        <x:v>QA with Deployment administrator and identity steward</x:v>
      </x:c>
      <x:c r="N28" s="10" t="str"/>
      <x:c r="O28" s="10" t="str"/>
      <x:c r="P28" s="7" t="n">
        <x:f>IF(LEN(N28)&gt;0,1,0)</x:f>
        <x:v>0</x:v>
      </x:c>
    </x:row>
    <x:row r="29" ht="47.25" customHeight="1">
      <x:c r="A29" s="8" t="str">
        <x:v>TC-BR-ID-03-B</x:v>
      </x:c>
      <x:c r="B29" s="8" t="str">
        <x:v>BR-ID-03</x:v>
      </x:c>
      <x:c r="C29" s="8" t="str">
        <x:v>FR-ID-03</x:v>
      </x:c>
      <x:c r="D29" s="8" t="str">
        <x:v>Authentication and recovery adverse condition</x:v>
      </x:c>
      <x:c r="E29" s="8" t="str">
        <x:v>Negative or recovery</x:v>
      </x:c>
      <x:c r="F29" s="8" t="str">
        <x:v>Must</x:v>
      </x:c>
      <x:c r="G29" s="8" t="str">
        <x:v>R1</x:v>
      </x:c>
      <x:c r="H29" s="8" t="str">
        <x:v>FX-ID-03-NEG</x:v>
      </x:c>
      <x:c r="I29" s="8" t="str">
        <x:v>Isolated synthetic tenant; begin from the corresponding acceptance scenario; inject only the named adverse condition.</x:v>
      </x:c>
      <x:c r="J29" s="8" t="str">
        <x:v>1. Establish the normal precondition. 2. Attempt recovery using only a known patient number; the request must fail. 3. Inspect user state, side effects, audit and any recovery queue.</x:v>
      </x:c>
      <x:c r="K29" s="8" t="str">
        <x:v>Attempt recovery using only a known patient number; the request must fail. Evidence must show the actual final state and any accountable unresolved work.</x:v>
      </x:c>
      <x:c r="L29" s="10" t="str">
        <x:v>Not run</x:v>
      </x:c>
      <x:c r="M29" s="10" t="str">
        <x:v>QA with Deployment administrator and identity steward</x:v>
      </x:c>
      <x:c r="N29" s="10" t="str"/>
      <x:c r="O29" s="10" t="str"/>
      <x:c r="P29" s="8" t="n">
        <x:f>IF(LEN(N29)&gt;0,1,0)</x:f>
        <x:v>0</x:v>
      </x:c>
    </x:row>
    <x:row r="30" ht="47.25" customHeight="1">
      <x:c r="A30" s="7" t="str">
        <x:v>TC-BR-ID-04-A</x:v>
      </x:c>
      <x:c r="B30" s="7" t="str">
        <x:v>BR-ID-04</x:v>
      </x:c>
      <x:c r="C30" s="7" t="str">
        <x:v>FR-ID-04</x:v>
      </x:c>
      <x:c r="D30" s="7" t="str">
        <x:v>Caseload assignment and transfer acceptance</x:v>
      </x:c>
      <x:c r="E30" s="7" t="str">
        <x:v>Functional</x:v>
      </x:c>
      <x:c r="F30" s="7" t="str">
        <x:v>Must</x:v>
      </x:c>
      <x:c r="G30" s="7" t="str">
        <x:v>R1</x:v>
      </x:c>
      <x:c r="H30" s="7" t="str">
        <x:v>FX-ID-04</x:v>
      </x:c>
      <x:c r="I30" s="7" t="str">
        <x:v>Synthetic tenant A; verified actor with intended scope; relevant pack and connector test profile active; reset fixture before execution.</x:v>
      </x:c>
      <x:c r="J30" s="7" t="str">
        <x:v>1. Load FX-ID-04. 2. Assignment changes carry effective dates and an explicit list of transferred open tasks with receiving ownership. 3. Capture UI/API results and stored receipt or audit evidence.</x:v>
      </x:c>
      <x:c r="K30" s="7" t="str">
        <x:v>Transferring a worker's caseload moves eligible open tasks, records acknowledgement and prevents duplicate ownership or orphaned urgent tasks.</x:v>
      </x:c>
      <x:c r="L30" s="10" t="str">
        <x:v>Not run</x:v>
      </x:c>
      <x:c r="M30" s="10" t="str">
        <x:v>QA with Deployment administrator and identity steward</x:v>
      </x:c>
      <x:c r="N30" s="10" t="str"/>
      <x:c r="O30" s="10" t="str"/>
      <x:c r="P30" s="7" t="n">
        <x:f>IF(LEN(N30)&gt;0,1,0)</x:f>
        <x:v>0</x:v>
      </x:c>
    </x:row>
    <x:row r="31" ht="47.25" customHeight="1">
      <x:c r="A31" s="8" t="str">
        <x:v>TC-BR-ID-04-B</x:v>
      </x:c>
      <x:c r="B31" s="8" t="str">
        <x:v>BR-ID-04</x:v>
      </x:c>
      <x:c r="C31" s="8" t="str">
        <x:v>FR-ID-04</x:v>
      </x:c>
      <x:c r="D31" s="8" t="str">
        <x:v>Caseload assignment and transfer adverse condition</x:v>
      </x:c>
      <x:c r="E31" s="8" t="str">
        <x:v>Negative or recovery</x:v>
      </x:c>
      <x:c r="F31" s="8" t="str">
        <x:v>Must</x:v>
      </x:c>
      <x:c r="G31" s="8" t="str">
        <x:v>R1</x:v>
      </x:c>
      <x:c r="H31" s="8" t="str">
        <x:v>FX-ID-04-NEG</x:v>
      </x:c>
      <x:c r="I31" s="8" t="str">
        <x:v>Isolated synthetic tenant; begin from the corresponding acceptance scenario; inject only the named adverse condition.</x:v>
      </x:c>
      <x:c r="J31" s="8" t="str">
        <x:v>1. Establish the normal precondition. 2. Transfer a caseload with an unresolved urgent task; the task cannot become unassigned. 3. Inspect user state, side effects, audit and any recovery queue.</x:v>
      </x:c>
      <x:c r="K31" s="8" t="str">
        <x:v>Transfer a caseload with an unresolved urgent task; the task cannot become unassigned. Evidence must show the actual final state and any accountable unresolved work.</x:v>
      </x:c>
      <x:c r="L31" s="10" t="str">
        <x:v>Not run</x:v>
      </x:c>
      <x:c r="M31" s="10" t="str">
        <x:v>QA with Deployment administrator and identity steward</x:v>
      </x:c>
      <x:c r="N31" s="10" t="str"/>
      <x:c r="O31" s="10" t="str"/>
      <x:c r="P31" s="8" t="n">
        <x:f>IF(LEN(N31)&gt;0,1,0)</x:f>
        <x:v>0</x:v>
      </x:c>
    </x:row>
    <x:row r="32" ht="47.25" customHeight="1">
      <x:c r="A32" s="7" t="str">
        <x:v>TC-BR-ID-05-A</x:v>
      </x:c>
      <x:c r="B32" s="7" t="str">
        <x:v>BR-ID-05</x:v>
      </x:c>
      <x:c r="C32" s="7" t="str">
        <x:v>FR-ID-05</x:v>
      </x:c>
      <x:c r="D32" s="7" t="str">
        <x:v>Patient matching with human resolution acceptance</x:v>
      </x:c>
      <x:c r="E32" s="7" t="str">
        <x:v>Functional</x:v>
      </x:c>
      <x:c r="F32" s="7" t="str">
        <x:v>Must</x:v>
      </x:c>
      <x:c r="G32" s="7" t="str">
        <x:v>R1</x:v>
      </x:c>
      <x:c r="H32" s="7" t="str">
        <x:v>FX-ID-05</x:v>
      </x:c>
      <x:c r="I32" s="7" t="str">
        <x:v>Synthetic tenant A; verified actor with intended scope; relevant pack and connector test profile active; reset fixture before execution.</x:v>
      </x:c>
      <x:c r="J32" s="7" t="str">
        <x:v>1. Load FX-ID-05. 2. Matching returns candidates with evidence and score only as assistance; a verified link needs an authorised person decision. 3. Capture UI/API results and stored receipt or audit evidence.</x:v>
      </x:c>
      <x:c r="K32" s="7" t="str">
        <x:v>Same-name, shared-phone, spelling-variant and twin cases remain distinct unless an authorised reviewer resolves the identity link.</x:v>
      </x:c>
      <x:c r="L32" s="10" t="str">
        <x:v>Not run</x:v>
      </x:c>
      <x:c r="M32" s="10" t="str">
        <x:v>QA with Deployment administrator and identity steward</x:v>
      </x:c>
      <x:c r="N32" s="10" t="str"/>
      <x:c r="O32" s="10" t="str"/>
      <x:c r="P32" s="7" t="n">
        <x:f>IF(LEN(N32)&gt;0,1,0)</x:f>
        <x:v>0</x:v>
      </x:c>
    </x:row>
    <x:row r="33" ht="47.25" customHeight="1">
      <x:c r="A33" s="8" t="str">
        <x:v>TC-BR-ID-05-B</x:v>
      </x:c>
      <x:c r="B33" s="8" t="str">
        <x:v>BR-ID-05</x:v>
      </x:c>
      <x:c r="C33" s="8" t="str">
        <x:v>FR-ID-05</x:v>
      </x:c>
      <x:c r="D33" s="8" t="str">
        <x:v>Patient matching with human resolution adverse condition</x:v>
      </x:c>
      <x:c r="E33" s="8" t="str">
        <x:v>Negative or recovery</x:v>
      </x:c>
      <x:c r="F33" s="8" t="str">
        <x:v>Must</x:v>
      </x:c>
      <x:c r="G33" s="8" t="str">
        <x:v>R1</x:v>
      </x:c>
      <x:c r="H33" s="8" t="str">
        <x:v>FX-ID-05-NEG</x:v>
      </x:c>
      <x:c r="I33" s="8" t="str">
        <x:v>Isolated synthetic tenant; begin from the corresponding acceptance scenario; inject only the named adverse condition.</x:v>
      </x:c>
      <x:c r="J33" s="8" t="str">
        <x:v>1. Establish the normal precondition. 2. Create twins with the same address and shared phone; no automatic merge may occur. 3. Inspect user state, side effects, audit and any recovery queue.</x:v>
      </x:c>
      <x:c r="K33" s="8" t="str">
        <x:v>Create twins with the same address and shared phone; no automatic merge may occur. Evidence must show the actual final state and any accountable unresolved work.</x:v>
      </x:c>
      <x:c r="L33" s="10" t="str">
        <x:v>Not run</x:v>
      </x:c>
      <x:c r="M33" s="10" t="str">
        <x:v>QA with Deployment administrator and identity steward</x:v>
      </x:c>
      <x:c r="N33" s="10" t="str"/>
      <x:c r="O33" s="10" t="str"/>
      <x:c r="P33" s="8" t="n">
        <x:f>IF(LEN(N33)&gt;0,1,0)</x:f>
        <x:v>0</x:v>
      </x:c>
    </x:row>
    <x:row r="34" ht="47.25" customHeight="1">
      <x:c r="A34" s="7" t="str">
        <x:v>TC-BR-ID-06-A</x:v>
      </x:c>
      <x:c r="B34" s="7" t="str">
        <x:v>BR-ID-06</x:v>
      </x:c>
      <x:c r="C34" s="7" t="str">
        <x:v>FR-ID-06</x:v>
      </x:c>
      <x:c r="D34" s="7" t="str">
        <x:v>Local registration without national identifier acceptance</x:v>
      </x:c>
      <x:c r="E34" s="7" t="str">
        <x:v>Functional</x:v>
      </x:c>
      <x:c r="F34" s="7" t="str">
        <x:v>Must</x:v>
      </x:c>
      <x:c r="G34" s="7" t="str">
        <x:v>R1</x:v>
      </x:c>
      <x:c r="H34" s="7" t="str">
        <x:v>FX-ID-06</x:v>
      </x:c>
      <x:c r="I34" s="7" t="str">
        <x:v>Synthetic tenant A; verified actor with intended scope; relevant pack and connector test profile active; reset fixture before execution.</x:v>
      </x:c>
      <x:c r="J34" s="7" t="str">
        <x:v>1. Load FX-ID-06. 2. Create a local UUID before external linking. Required local demographics permit explicit unknown where programme rules allow. 3. Capture UI/API results and stored receipt or audit evidence.</x:v>
      </x:c>
      <x:c r="K34" s="7" t="str">
        <x:v>A person lacking all three completes an eligible pilot encounter without a fabricated external identifier.</x:v>
      </x:c>
      <x:c r="L34" s="10" t="str">
        <x:v>Not run</x:v>
      </x:c>
      <x:c r="M34" s="10" t="str">
        <x:v>QA with Deployment administrator and identity steward</x:v>
      </x:c>
      <x:c r="N34" s="10" t="str"/>
      <x:c r="O34" s="10" t="str"/>
      <x:c r="P34" s="7" t="n">
        <x:f>IF(LEN(N34)&gt;0,1,0)</x:f>
        <x:v>0</x:v>
      </x:c>
    </x:row>
    <x:row r="35" ht="47.25" customHeight="1">
      <x:c r="A35" s="8" t="str">
        <x:v>TC-BR-ID-06-B</x:v>
      </x:c>
      <x:c r="B35" s="8" t="str">
        <x:v>BR-ID-06</x:v>
      </x:c>
      <x:c r="C35" s="8" t="str">
        <x:v>FR-ID-06</x:v>
      </x:c>
      <x:c r="D35" s="8" t="str">
        <x:v>Local registration without national identifier adverse condition</x:v>
      </x:c>
      <x:c r="E35" s="8" t="str">
        <x:v>Negative or recovery</x:v>
      </x:c>
      <x:c r="F35" s="8" t="str">
        <x:v>Must</x:v>
      </x:c>
      <x:c r="G35" s="8" t="str">
        <x:v>R1</x:v>
      </x:c>
      <x:c r="H35" s="8" t="str">
        <x:v>FX-ID-06-NEG</x:v>
      </x:c>
      <x:c r="I35" s="8" t="str">
        <x:v>Isolated synthetic tenant; begin from the corresponding acceptance scenario; inject only the named adverse condition.</x:v>
      </x:c>
      <x:c r="J35" s="8" t="str">
        <x:v>1. Establish the normal precondition. 2. Register a person with no ABHA or phone; allow local care capture without invented identifiers. 3. Inspect user state, side effects, audit and any recovery queue.</x:v>
      </x:c>
      <x:c r="K35" s="8" t="str">
        <x:v>Register a person with no ABHA or phone; allow local care capture without invented identifiers. Evidence must show the actual final state and any accountable unresolved work.</x:v>
      </x:c>
      <x:c r="L35" s="10" t="str">
        <x:v>Not run</x:v>
      </x:c>
      <x:c r="M35" s="10" t="str">
        <x:v>QA with Deployment administrator and identity steward</x:v>
      </x:c>
      <x:c r="N35" s="10" t="str"/>
      <x:c r="O35" s="10" t="str"/>
      <x:c r="P35" s="8" t="n">
        <x:f>IF(LEN(N35)&gt;0,1,0)</x:f>
        <x:v>0</x:v>
      </x:c>
    </x:row>
    <x:row r="36" ht="47.25" customHeight="1">
      <x:c r="A36" s="7" t="str">
        <x:v>TC-BR-ID-07-A</x:v>
      </x:c>
      <x:c r="B36" s="7" t="str">
        <x:v>BR-ID-07</x:v>
      </x:c>
      <x:c r="C36" s="7" t="str">
        <x:v>FR-ID-07</x:v>
      </x:c>
      <x:c r="D36" s="7" t="str">
        <x:v>Household and proxy boundaries acceptance</x:v>
      </x:c>
      <x:c r="E36" s="7" t="str">
        <x:v>Functional</x:v>
      </x:c>
      <x:c r="F36" s="7" t="str">
        <x:v>Must</x:v>
      </x:c>
      <x:c r="G36" s="7" t="str">
        <x:v>R1</x:v>
      </x:c>
      <x:c r="H36" s="7" t="str">
        <x:v>FX-ID-07</x:v>
      </x:c>
      <x:c r="I36" s="7" t="str">
        <x:v>Synthetic tenant A; verified actor with intended scope; relevant pack and connector test profile active; reset fixture before execution.</x:v>
      </x:c>
      <x:c r="J36" s="7" t="str">
        <x:v>1. Load FX-ID-07. 2. Proxy relationship includes relationship type, authority scope and evidence; household membership does not populate access grants. 3. Capture UI/API results and stored receipt or audit evidence.</x:v>
      </x:c>
      <x:c r="K36" s="7" t="str">
        <x:v>A caregiver and household head can receive only the information permitted by the relevant relationship and authorisation rules.</x:v>
      </x:c>
      <x:c r="L36" s="10" t="str">
        <x:v>Not run</x:v>
      </x:c>
      <x:c r="M36" s="10" t="str">
        <x:v>QA with Deployment administrator and identity steward</x:v>
      </x:c>
      <x:c r="N36" s="10" t="str"/>
      <x:c r="O36" s="10" t="str"/>
      <x:c r="P36" s="7" t="n">
        <x:f>IF(LEN(N36)&gt;0,1,0)</x:f>
        <x:v>0</x:v>
      </x:c>
    </x:row>
    <x:row r="37" ht="47.25" customHeight="1">
      <x:c r="A37" s="8" t="str">
        <x:v>TC-BR-ID-07-B</x:v>
      </x:c>
      <x:c r="B37" s="8" t="str">
        <x:v>BR-ID-07</x:v>
      </x:c>
      <x:c r="C37" s="8" t="str">
        <x:v>FR-ID-07</x:v>
      </x:c>
      <x:c r="D37" s="8" t="str">
        <x:v>Household and proxy boundaries adverse condition</x:v>
      </x:c>
      <x:c r="E37" s="8" t="str">
        <x:v>Negative or recovery</x:v>
      </x:c>
      <x:c r="F37" s="8" t="str">
        <x:v>Must</x:v>
      </x:c>
      <x:c r="G37" s="8" t="str">
        <x:v>R1</x:v>
      </x:c>
      <x:c r="H37" s="8" t="str">
        <x:v>FX-ID-07-NEG</x:v>
      </x:c>
      <x:c r="I37" s="8" t="str">
        <x:v>Isolated synthetic tenant; begin from the corresponding acceptance scenario; inject only the named adverse condition.</x:v>
      </x:c>
      <x:c r="J37" s="8" t="str">
        <x:v>1. Establish the normal precondition. 2. A household head requests another adult member private visit; deny without valid proxy authority. 3. Inspect user state, side effects, audit and any recovery queue.</x:v>
      </x:c>
      <x:c r="K37" s="8" t="str">
        <x:v>A household head requests another adult member private visit; deny without valid proxy authority. Evidence must show the actual final state and any accountable unresolved work.</x:v>
      </x:c>
      <x:c r="L37" s="10" t="str">
        <x:v>Not run</x:v>
      </x:c>
      <x:c r="M37" s="10" t="str">
        <x:v>QA with Deployment administrator and identity steward</x:v>
      </x:c>
      <x:c r="N37" s="10" t="str"/>
      <x:c r="O37" s="10" t="str"/>
      <x:c r="P37" s="8" t="n">
        <x:f>IF(LEN(N37)&gt;0,1,0)</x:f>
        <x:v>0</x:v>
      </x:c>
    </x:row>
    <x:row r="38" ht="47.25" customHeight="1">
      <x:c r="A38" s="7" t="str">
        <x:v>TC-BR-ID-08-A</x:v>
      </x:c>
      <x:c r="B38" s="7" t="str">
        <x:v>BR-ID-08</x:v>
      </x:c>
      <x:c r="C38" s="7" t="str">
        <x:v>FR-ID-08</x:v>
      </x:c>
      <x:c r="D38" s="7" t="str">
        <x:v>Correctable identity links acceptance</x:v>
      </x:c>
      <x:c r="E38" s="7" t="str">
        <x:v>Functional</x:v>
      </x:c>
      <x:c r="F38" s="7" t="str">
        <x:v>Must</x:v>
      </x:c>
      <x:c r="G38" s="7" t="str">
        <x:v>R1</x:v>
      </x:c>
      <x:c r="H38" s="7" t="str">
        <x:v>FX-ID-08</x:v>
      </x:c>
      <x:c r="I38" s="7" t="str">
        <x:v>Synthetic tenant A; verified actor with intended scope; relevant pack and connector test profile active; reset fixture before execution.</x:v>
      </x:c>
      <x:c r="J38" s="7" t="str">
        <x:v>1. Load FX-ID-08. 2. Link correction appends a superseding relationship and generates a downstream repair list from lineage records. 3. Capture UI/API results and stored receipt or audit evidence.</x:v>
      </x:c>
      <x:c r="K38" s="7" t="str">
        <x:v>An authorised correction unlinks the wrong identity, flags affected submissions and records which external changes remain unresolved.</x:v>
      </x:c>
      <x:c r="L38" s="10" t="str">
        <x:v>Not run</x:v>
      </x:c>
      <x:c r="M38" s="10" t="str">
        <x:v>QA with Deployment administrator and identity steward</x:v>
      </x:c>
      <x:c r="N38" s="10" t="str"/>
      <x:c r="O38" s="10" t="str"/>
      <x:c r="P38" s="7" t="n">
        <x:f>IF(LEN(N38)&gt;0,1,0)</x:f>
        <x:v>0</x:v>
      </x:c>
    </x:row>
    <x:row r="39" ht="47.25" customHeight="1">
      <x:c r="A39" s="8" t="str">
        <x:v>TC-BR-ID-08-B</x:v>
      </x:c>
      <x:c r="B39" s="8" t="str">
        <x:v>BR-ID-08</x:v>
      </x:c>
      <x:c r="C39" s="8" t="str">
        <x:v>FR-ID-08</x:v>
      </x:c>
      <x:c r="D39" s="8" t="str">
        <x:v>Correctable identity links adverse condition</x:v>
      </x:c>
      <x:c r="E39" s="8" t="str">
        <x:v>Negative or recovery</x:v>
      </x:c>
      <x:c r="F39" s="8" t="str">
        <x:v>Must</x:v>
      </x:c>
      <x:c r="G39" s="8" t="str">
        <x:v>R1</x:v>
      </x:c>
      <x:c r="H39" s="8" t="str">
        <x:v>FX-ID-08-NEG</x:v>
      </x:c>
      <x:c r="I39" s="8" t="str">
        <x:v>Isolated synthetic tenant; begin from the corresponding acceptance scenario; inject only the named adverse condition.</x:v>
      </x:c>
      <x:c r="J39" s="8" t="str">
        <x:v>1. Establish the normal precondition. 2. Correct an external link after accepted submissions; preserve original receipts and create repair tasks. 3. Inspect user state, side effects, audit and any recovery queue.</x:v>
      </x:c>
      <x:c r="K39" s="8" t="str">
        <x:v>Correct an external link after accepted submissions; preserve original receipts and create repair tasks. Evidence must show the actual final state and any accountable unresolved work.</x:v>
      </x:c>
      <x:c r="L39" s="10" t="str">
        <x:v>Not run</x:v>
      </x:c>
      <x:c r="M39" s="10" t="str">
        <x:v>QA with Deployment administrator and identity steward</x:v>
      </x:c>
      <x:c r="N39" s="10" t="str"/>
      <x:c r="O39" s="10" t="str"/>
      <x:c r="P39" s="8" t="n">
        <x:f>IF(LEN(N39)&gt;0,1,0)</x:f>
        <x:v>0</x:v>
      </x:c>
    </x:row>
    <x:row r="40" ht="47.25" customHeight="1">
      <x:c r="A40" s="7" t="str">
        <x:v>TC-BR-ID-09-A</x:v>
      </x:c>
      <x:c r="B40" s="7" t="str">
        <x:v>BR-ID-09</x:v>
      </x:c>
      <x:c r="C40" s="7" t="str">
        <x:v>FR-ID-09</x:v>
      </x:c>
      <x:c r="D40" s="7" t="str">
        <x:v>Service accounts and delegation acceptance</x:v>
      </x:c>
      <x:c r="E40" s="7" t="str">
        <x:v>Functional</x:v>
      </x:c>
      <x:c r="F40" s="7" t="str">
        <x:v>Must</x:v>
      </x:c>
      <x:c r="G40" s="7" t="str">
        <x:v>R1</x:v>
      </x:c>
      <x:c r="H40" s="7" t="str">
        <x:v>FX-ID-09</x:v>
      </x:c>
      <x:c r="I40" s="7" t="str">
        <x:v>Synthetic tenant A; verified actor with intended scope; relevant pack and connector test profile active; reset fixture before execution.</x:v>
      </x:c>
      <x:c r="J40" s="7" t="str">
        <x:v>1. Load FX-ID-09. 2. Service identities have specific audiences and tools, rotated credentials and expiry; user tokens never become provider credentials. 3. Capture UI/API results and stored receipt or audit evidence.</x:v>
      </x:c>
      <x:c r="K40" s="7" t="str">
        <x:v>Revoking a connector credential stops its new calls without disabling unrelated connectors; audit identifies both initiating user and executing service.</x:v>
      </x:c>
      <x:c r="L40" s="10" t="str">
        <x:v>Not run</x:v>
      </x:c>
      <x:c r="M40" s="10" t="str">
        <x:v>QA with Deployment administrator and identity steward</x:v>
      </x:c>
      <x:c r="N40" s="10" t="str"/>
      <x:c r="O40" s="10" t="str"/>
      <x:c r="P40" s="7" t="n">
        <x:f>IF(LEN(N40)&gt;0,1,0)</x:f>
        <x:v>0</x:v>
      </x:c>
    </x:row>
    <x:row r="41" ht="47.25" customHeight="1">
      <x:c r="A41" s="8" t="str">
        <x:v>TC-BR-ID-09-B</x:v>
      </x:c>
      <x:c r="B41" s="8" t="str">
        <x:v>BR-ID-09</x:v>
      </x:c>
      <x:c r="C41" s="8" t="str">
        <x:v>FR-ID-09</x:v>
      </x:c>
      <x:c r="D41" s="8" t="str">
        <x:v>Service accounts and delegation adverse condition</x:v>
      </x:c>
      <x:c r="E41" s="8" t="str">
        <x:v>Negative or recovery</x:v>
      </x:c>
      <x:c r="F41" s="8" t="str">
        <x:v>Must</x:v>
      </x:c>
      <x:c r="G41" s="8" t="str">
        <x:v>R1</x:v>
      </x:c>
      <x:c r="H41" s="8" t="str">
        <x:v>FX-ID-09-NEG</x:v>
      </x:c>
      <x:c r="I41" s="8" t="str">
        <x:v>Isolated synthetic tenant; begin from the corresponding acceptance scenario; inject only the named adverse condition.</x:v>
      </x:c>
      <x:c r="J41" s="8" t="str">
        <x:v>1. Establish the normal precondition. 2. Use a revoked connector credential for another connector; both delegation and audience checks deny it. 3. Inspect user state, side effects, audit and any recovery queue.</x:v>
      </x:c>
      <x:c r="K41" s="8" t="str">
        <x:v>Use a revoked connector credential for another connector; both delegation and audience checks deny it. Evidence must show the actual final state and any accountable unresolved work.</x:v>
      </x:c>
      <x:c r="L41" s="10" t="str">
        <x:v>Not run</x:v>
      </x:c>
      <x:c r="M41" s="10" t="str">
        <x:v>QA with Deployment administrator and identity steward</x:v>
      </x:c>
      <x:c r="N41" s="10" t="str"/>
      <x:c r="O41" s="10" t="str"/>
      <x:c r="P41" s="8" t="n">
        <x:f>IF(LEN(N41)&gt;0,1,0)</x:f>
        <x:v>0</x:v>
      </x:c>
    </x:row>
    <x:row r="42" ht="47.25" customHeight="1">
      <x:c r="A42" s="7" t="str">
        <x:v>TC-BR-ID-10-A</x:v>
      </x:c>
      <x:c r="B42" s="7" t="str">
        <x:v>BR-ID-10</x:v>
      </x:c>
      <x:c r="C42" s="7" t="str">
        <x:v>FR-ID-10</x:v>
      </x:c>
      <x:c r="D42" s="7" t="str">
        <x:v>Organisational federation acceptance</x:v>
      </x:c>
      <x:c r="E42" s="7" t="str">
        <x:v>Functional</x:v>
      </x:c>
      <x:c r="F42" s="7" t="str">
        <x:v>Should</x:v>
      </x:c>
      <x:c r="G42" s="7" t="str">
        <x:v>R2</x:v>
      </x:c>
      <x:c r="H42" s="7" t="str">
        <x:v>FX-ID-10</x:v>
      </x:c>
      <x:c r="I42" s="7" t="str">
        <x:v>Synthetic tenant A; verified actor with intended scope; relevant pack and connector test profile active; reset fixture before execution.</x:v>
      </x:c>
      <x:c r="J42" s="7" t="str">
        <x:v>1. Load FX-ID-10. 2. Federated groups map through reviewed local role mappings; an external group cannot grant an unmapped clinical privilege. 3. Capture UI/API results and stored receipt or audit evidence.</x:v>
      </x:c>
      <x:c r="K42" s="7" t="str">
        <x:v>An upstream removal or scope change is reflected within the approved synchronisation window, including termination of incompatible sessions.</x:v>
      </x:c>
      <x:c r="L42" s="10" t="str">
        <x:v>Not run</x:v>
      </x:c>
      <x:c r="M42" s="10" t="str">
        <x:v>QA with Deployment administrator and identity steward</x:v>
      </x:c>
      <x:c r="N42" s="10" t="str"/>
      <x:c r="O42" s="10" t="str"/>
      <x:c r="P42" s="7" t="n">
        <x:f>IF(LEN(N42)&gt;0,1,0)</x:f>
        <x:v>0</x:v>
      </x:c>
    </x:row>
    <x:row r="43" ht="47.25" customHeight="1">
      <x:c r="A43" s="8" t="str">
        <x:v>TC-BR-ID-10-B</x:v>
      </x:c>
      <x:c r="B43" s="8" t="str">
        <x:v>BR-ID-10</x:v>
      </x:c>
      <x:c r="C43" s="8" t="str">
        <x:v>FR-ID-10</x:v>
      </x:c>
      <x:c r="D43" s="8" t="str">
        <x:v>Organisational federation adverse condition</x:v>
      </x:c>
      <x:c r="E43" s="8" t="str">
        <x:v>Negative or recovery</x:v>
      </x:c>
      <x:c r="F43" s="8" t="str">
        <x:v>Should</x:v>
      </x:c>
      <x:c r="G43" s="8" t="str">
        <x:v>R2</x:v>
      </x:c>
      <x:c r="H43" s="8" t="str">
        <x:v>FX-ID-10-NEG</x:v>
      </x:c>
      <x:c r="I43" s="8" t="str">
        <x:v>Isolated synthetic tenant; begin from the corresponding acceptance scenario; inject only the named adverse condition.</x:v>
      </x:c>
      <x:c r="J43" s="8" t="str">
        <x:v>1. Establish the normal precondition. 2. Change an upstream group to an unrecognised role; local privileged access must not expand. 3. Inspect user state, side effects, audit and any recovery queue.</x:v>
      </x:c>
      <x:c r="K43" s="8" t="str">
        <x:v>Change an upstream group to an unrecognised role; local privileged access must not expand. Evidence must show the actual final state and any accountable unresolved work.</x:v>
      </x:c>
      <x:c r="L43" s="10" t="str">
        <x:v>Not run</x:v>
      </x:c>
      <x:c r="M43" s="10" t="str">
        <x:v>QA with Deployment administrator and identity steward</x:v>
      </x:c>
      <x:c r="N43" s="10" t="str"/>
      <x:c r="O43" s="10" t="str"/>
      <x:c r="P43" s="8" t="n">
        <x:f>IF(LEN(N43)&gt;0,1,0)</x:f>
        <x:v>0</x:v>
      </x:c>
    </x:row>
    <x:row r="44" ht="47.25" customHeight="1">
      <x:c r="A44" s="7" t="str">
        <x:v>TC-BR-DATA-01-A</x:v>
      </x:c>
      <x:c r="B44" s="7" t="str">
        <x:v>BR-DATA-01</x:v>
      </x:c>
      <x:c r="C44" s="7" t="str">
        <x:v>FR-DATA-01</x:v>
      </x:c>
      <x:c r="D44" s="7" t="str">
        <x:v>Shared question assembly acceptance</x:v>
      </x:c>
      <x:c r="E44" s="7" t="str">
        <x:v>Functional</x:v>
      </x:c>
      <x:c r="F44" s="7" t="str">
        <x:v>Must</x:v>
      </x:c>
      <x:c r="G44" s="7" t="str">
        <x:v>R1</x:v>
      </x:c>
      <x:c r="H44" s="7" t="str">
        <x:v>FX-DATA-01</x:v>
      </x:c>
      <x:c r="I44" s="7" t="str">
        <x:v>Synthetic tenant A; verified actor with intended scope; relevant pack and connector test profile active; reset fixture before execution.</x:v>
      </x:c>
      <x:c r="J44" s="7" t="str">
        <x:v>1. Load FX-DATA-01. 2. Question equivalence requires the same semantic concept, person, episode, time window, unit and permitted purpose. 3. Capture UI/API results and stored receipt or audit evidence.</x:v>
      </x:c>
      <x:c r="K44" s="7" t="str">
        <x:v>The approved three-programme fixture asks each shared concept once and retains every distinct mandatory programme-specific question.</x:v>
      </x:c>
      <x:c r="L44" s="10" t="str">
        <x:v>Not run</x:v>
      </x:c>
      <x:c r="M44" s="10" t="str">
        <x:v>QA with Frontline worker and programme data owner</x:v>
      </x:c>
      <x:c r="N44" s="10" t="str"/>
      <x:c r="O44" s="10" t="str"/>
      <x:c r="P44" s="7" t="n">
        <x:f>IF(LEN(N44)&gt;0,1,0)</x:f>
        <x:v>0</x:v>
      </x:c>
    </x:row>
    <x:row r="45" ht="47.25" customHeight="1">
      <x:c r="A45" s="8" t="str">
        <x:v>TC-BR-DATA-01-B</x:v>
      </x:c>
      <x:c r="B45" s="8" t="str">
        <x:v>BR-DATA-01</x:v>
      </x:c>
      <x:c r="C45" s="8" t="str">
        <x:v>FR-DATA-01</x:v>
      </x:c>
      <x:c r="D45" s="8" t="str">
        <x:v>Shared question assembly adverse condition</x:v>
      </x:c>
      <x:c r="E45" s="8" t="str">
        <x:v>Negative or recovery</x:v>
      </x:c>
      <x:c r="F45" s="8" t="str">
        <x:v>Must</x:v>
      </x:c>
      <x:c r="G45" s="8" t="str">
        <x:v>R1</x:v>
      </x:c>
      <x:c r="H45" s="8" t="str">
        <x:v>FX-DATA-01-NEG</x:v>
      </x:c>
      <x:c r="I45" s="8" t="str">
        <x:v>Isolated synthetic tenant; begin from the corresponding acceptance scenario; inject only the named adverse condition.</x:v>
      </x:c>
      <x:c r="J45" s="8" t="str">
        <x:v>1. Establish the normal precondition. 2. Give two similarly named fields with different reporting periods; they remain separate questions. 3. Inspect user state, side effects, audit and any recovery queue.</x:v>
      </x:c>
      <x:c r="K45" s="8" t="str">
        <x:v>Give two similarly named fields with different reporting periods; they remain separate questions. Evidence must show the actual final state and any accountable unresolved work.</x:v>
      </x:c>
      <x:c r="L45" s="10" t="str">
        <x:v>Not run</x:v>
      </x:c>
      <x:c r="M45" s="10" t="str">
        <x:v>QA with Frontline worker and programme data owner</x:v>
      </x:c>
      <x:c r="N45" s="10" t="str"/>
      <x:c r="O45" s="10" t="str"/>
      <x:c r="P45" s="8" t="n">
        <x:f>IF(LEN(N45)&gt;0,1,0)</x:f>
        <x:v>0</x:v>
      </x:c>
    </x:row>
    <x:row r="46" ht="47.25" customHeight="1">
      <x:c r="A46" s="7" t="str">
        <x:v>TC-BR-DATA-02-A</x:v>
      </x:c>
      <x:c r="B46" s="7" t="str">
        <x:v>BR-DATA-02</x:v>
      </x:c>
      <x:c r="C46" s="7" t="str">
        <x:v>FR-DATA-02</x:v>
      </x:c>
      <x:c r="D46" s="7" t="str">
        <x:v>Source and timing for every fact acceptance</x:v>
      </x:c>
      <x:c r="E46" s="7" t="str">
        <x:v>Functional</x:v>
      </x:c>
      <x:c r="F46" s="7" t="str">
        <x:v>Must</x:v>
      </x:c>
      <x:c r="G46" s="7" t="str">
        <x:v>R1</x:v>
      </x:c>
      <x:c r="H46" s="7" t="str">
        <x:v>FX-DATA-02</x:v>
      </x:c>
      <x:c r="I46" s="7" t="str">
        <x:v>Synthetic tenant A; verified actor with intended scope; relevant pack and connector test profile active; reset fixture before execution.</x:v>
      </x:c>
      <x:c r="J46" s="7" t="str">
        <x:v>1. Load FX-DATA-02. 2. Each observation includes effective_at, recorded_at, source_type, verification, author and either value or absent_reason. 3. Capture UI/API results and stored receipt or audit evidence.</x:v>
      </x:c>
      <x:c r="K46" s="7" t="str">
        <x:v>Each destination field can be traced to the confirmed source fact or a documented transformation; missing data is never converted to a negative finding.</x:v>
      </x:c>
      <x:c r="L46" s="10" t="str">
        <x:v>Not run</x:v>
      </x:c>
      <x:c r="M46" s="10" t="str">
        <x:v>QA with Frontline worker and programme data owner</x:v>
      </x:c>
      <x:c r="N46" s="10" t="str"/>
      <x:c r="O46" s="10" t="str"/>
      <x:c r="P46" s="7" t="n">
        <x:f>IF(LEN(N46)&gt;0,1,0)</x:f>
        <x:v>0</x:v>
      </x:c>
    </x:row>
    <x:row r="47" ht="47.25" customHeight="1">
      <x:c r="A47" s="8" t="str">
        <x:v>TC-BR-DATA-02-B</x:v>
      </x:c>
      <x:c r="B47" s="8" t="str">
        <x:v>BR-DATA-02</x:v>
      </x:c>
      <x:c r="C47" s="8" t="str">
        <x:v>FR-DATA-02</x:v>
      </x:c>
      <x:c r="D47" s="8" t="str">
        <x:v>Source and timing for every fact adverse condition</x:v>
      </x:c>
      <x:c r="E47" s="8" t="str">
        <x:v>Negative or recovery</x:v>
      </x:c>
      <x:c r="F47" s="8" t="str">
        <x:v>Must</x:v>
      </x:c>
      <x:c r="G47" s="8" t="str">
        <x:v>R1</x:v>
      </x:c>
      <x:c r="H47" s="8" t="str">
        <x:v>FX-DATA-02-NEG</x:v>
      </x:c>
      <x:c r="I47" s="8" t="str">
        <x:v>Isolated synthetic tenant; begin from the corresponding acceptance scenario; inject only the named adverse condition.</x:v>
      </x:c>
      <x:c r="J47" s="8" t="str">
        <x:v>1. Establish the normal precondition. 2. Send both a value and a refusal code; reject the contradictory observation. 3. Inspect user state, side effects, audit and any recovery queue.</x:v>
      </x:c>
      <x:c r="K47" s="8" t="str">
        <x:v>Send both a value and a refusal code; reject the contradictory observation. Evidence must show the actual final state and any accountable unresolved work.</x:v>
      </x:c>
      <x:c r="L47" s="10" t="str">
        <x:v>Not run</x:v>
      </x:c>
      <x:c r="M47" s="10" t="str">
        <x:v>QA with Frontline worker and programme data owner</x:v>
      </x:c>
      <x:c r="N47" s="10" t="str"/>
      <x:c r="O47" s="10" t="str"/>
      <x:c r="P47" s="8" t="n">
        <x:f>IF(LEN(N47)&gt;0,1,0)</x:f>
        <x:v>0</x:v>
      </x:c>
    </x:row>
    <x:row r="48" ht="47.25" customHeight="1">
      <x:c r="A48" s="7" t="str">
        <x:v>TC-BR-DATA-03-A</x:v>
      </x:c>
      <x:c r="B48" s="7" t="str">
        <x:v>BR-DATA-03</x:v>
      </x:c>
      <x:c r="C48" s="7" t="str">
        <x:v>FR-DATA-03</x:v>
      </x:c>
      <x:c r="D48" s="7" t="str">
        <x:v>Speech extraction as a draft acceptance</x:v>
      </x:c>
      <x:c r="E48" s="7" t="str">
        <x:v>Functional</x:v>
      </x:c>
      <x:c r="F48" s="7" t="str">
        <x:v>Must</x:v>
      </x:c>
      <x:c r="G48" s="7" t="str">
        <x:v>R1</x:v>
      </x:c>
      <x:c r="H48" s="7" t="str">
        <x:v>FX-DATA-03</x:v>
      </x:c>
      <x:c r="I48" s="7" t="str">
        <x:v>Synthetic tenant A; verified actor with intended scope; relevant pack and connector test profile active; reset fixture before execution.</x:v>
      </x:c>
      <x:c r="J48" s="7" t="str">
        <x:v>1. Load FX-DATA-03. 2. Extraction stores original segment references and draft confidence markers; confirmation is an explicit separate command. 3. Capture UI/API results and stored receipt or audit evidence.</x:v>
      </x:c>
      <x:c r="K48" s="7" t="str">
        <x:v>A test set containing negation, mixed language, background speakers and ambiguous quantities produces reviewable fields and no unconfirmed authoritative write.</x:v>
      </x:c>
      <x:c r="L48" s="10" t="str">
        <x:v>Not run</x:v>
      </x:c>
      <x:c r="M48" s="10" t="str">
        <x:v>QA with Frontline worker and programme data owner</x:v>
      </x:c>
      <x:c r="N48" s="10" t="str"/>
      <x:c r="O48" s="10" t="str"/>
      <x:c r="P48" s="7" t="n">
        <x:f>IF(LEN(N48)&gt;0,1,0)</x:f>
        <x:v>0</x:v>
      </x:c>
    </x:row>
    <x:row r="49" ht="47.25" customHeight="1">
      <x:c r="A49" s="8" t="str">
        <x:v>TC-BR-DATA-03-B</x:v>
      </x:c>
      <x:c r="B49" s="8" t="str">
        <x:v>BR-DATA-03</x:v>
      </x:c>
      <x:c r="C49" s="8" t="str">
        <x:v>FR-DATA-03</x:v>
      </x:c>
      <x:c r="D49" s="8" t="str">
        <x:v>Speech extraction as a draft adverse condition</x:v>
      </x:c>
      <x:c r="E49" s="8" t="str">
        <x:v>Negative or recovery</x:v>
      </x:c>
      <x:c r="F49" s="8" t="str">
        <x:v>Must</x:v>
      </x:c>
      <x:c r="G49" s="8" t="str">
        <x:v>R1</x:v>
      </x:c>
      <x:c r="H49" s="8" t="str">
        <x:v>FX-DATA-03-NEG</x:v>
      </x:c>
      <x:c r="I49" s="8" t="str">
        <x:v>Isolated synthetic tenant; begin from the corresponding acceptance scenario; inject only the named adverse condition.</x:v>
      </x:c>
      <x:c r="J49" s="8" t="str">
        <x:v>1. Establish the normal precondition. 2. Transcribe a negated symptom and an ambiguous number; neither can silently become a confirmed positive fact. 3. Inspect user state, side effects, audit and any recovery queue.</x:v>
      </x:c>
      <x:c r="K49" s="8" t="str">
        <x:v>Transcribe a negated symptom and an ambiguous number; neither can silently become a confirmed positive fact. Evidence must show the actual final state and any accountable unresolved work.</x:v>
      </x:c>
      <x:c r="L49" s="10" t="str">
        <x:v>Not run</x:v>
      </x:c>
      <x:c r="M49" s="10" t="str">
        <x:v>QA with Frontline worker and programme data owner</x:v>
      </x:c>
      <x:c r="N49" s="10" t="str"/>
      <x:c r="O49" s="10" t="str"/>
      <x:c r="P49" s="8" t="n">
        <x:f>IF(LEN(N49)&gt;0,1,0)</x:f>
        <x:v>0</x:v>
      </x:c>
    </x:row>
    <x:row r="50" ht="47.25" customHeight="1">
      <x:c r="A50" s="7" t="str">
        <x:v>TC-BR-DATA-04-A</x:v>
      </x:c>
      <x:c r="B50" s="7" t="str">
        <x:v>BR-DATA-04</x:v>
      </x:c>
      <x:c r="C50" s="7" t="str">
        <x:v>FR-DATA-04</x:v>
      </x:c>
      <x:c r="D50" s="7" t="str">
        <x:v>Freshness and relevance acceptance</x:v>
      </x:c>
      <x:c r="E50" s="7" t="str">
        <x:v>Functional</x:v>
      </x:c>
      <x:c r="F50" s="7" t="str">
        <x:v>Must</x:v>
      </x:c>
      <x:c r="G50" s="7" t="str">
        <x:v>R1</x:v>
      </x:c>
      <x:c r="H50" s="7" t="str">
        <x:v>FX-DATA-04</x:v>
      </x:c>
      <x:c r="I50" s="7" t="str">
        <x:v>Synthetic tenant A; verified actor with intended scope; relevant pack and connector test profile active; reset fixture before execution.</x:v>
      </x:c>
      <x:c r="J50" s="7" t="str">
        <x:v>1. Load FX-DATA-04. 2. Freshness is evaluated from effective time against the active pack requirement, not server receipt time. 3. Capture UI/API results and stored receipt or audit evidence.</x:v>
      </x:c>
      <x:c r="K50" s="7" t="str">
        <x:v>An expired measurement is excluded from a time-sensitive model call even if it is the latest value available.</x:v>
      </x:c>
      <x:c r="L50" s="10" t="str">
        <x:v>Not run</x:v>
      </x:c>
      <x:c r="M50" s="10" t="str">
        <x:v>QA with Frontline worker and programme data owner</x:v>
      </x:c>
      <x:c r="N50" s="10" t="str"/>
      <x:c r="O50" s="10" t="str"/>
      <x:c r="P50" s="7" t="n">
        <x:f>IF(LEN(N50)&gt;0,1,0)</x:f>
        <x:v>0</x:v>
      </x:c>
    </x:row>
    <x:row r="51" ht="47.25" customHeight="1">
      <x:c r="A51" s="8" t="str">
        <x:v>TC-BR-DATA-04-B</x:v>
      </x:c>
      <x:c r="B51" s="8" t="str">
        <x:v>BR-DATA-04</x:v>
      </x:c>
      <x:c r="C51" s="8" t="str">
        <x:v>FR-DATA-04</x:v>
      </x:c>
      <x:c r="D51" s="8" t="str">
        <x:v>Freshness and relevance adverse condition</x:v>
      </x:c>
      <x:c r="E51" s="8" t="str">
        <x:v>Negative or recovery</x:v>
      </x:c>
      <x:c r="F51" s="8" t="str">
        <x:v>Must</x:v>
      </x:c>
      <x:c r="G51" s="8" t="str">
        <x:v>R1</x:v>
      </x:c>
      <x:c r="H51" s="8" t="str">
        <x:v>FX-DATA-04-NEG</x:v>
      </x:c>
      <x:c r="I51" s="8" t="str">
        <x:v>Isolated synthetic tenant; begin from the corresponding acceptance scenario; inject only the named adverse condition.</x:v>
      </x:c>
      <x:c r="J51" s="8" t="str">
        <x:v>1. Establish the normal precondition. 2. Upload an old measurement today; it must remain historical and cannot satisfy a new-measurement requirement. 3. Inspect user state, side effects, audit and any recovery queue.</x:v>
      </x:c>
      <x:c r="K51" s="8" t="str">
        <x:v>Upload an old measurement today; it must remain historical and cannot satisfy a new-measurement requirement. Evidence must show the actual final state and any accountable unresolved work.</x:v>
      </x:c>
      <x:c r="L51" s="10" t="str">
        <x:v>Not run</x:v>
      </x:c>
      <x:c r="M51" s="10" t="str">
        <x:v>QA with Frontline worker and programme data owner</x:v>
      </x:c>
      <x:c r="N51" s="10" t="str"/>
      <x:c r="O51" s="10" t="str"/>
      <x:c r="P51" s="8" t="n">
        <x:f>IF(LEN(N51)&gt;0,1,0)</x:f>
        <x:v>0</x:v>
      </x:c>
    </x:row>
    <x:row r="52" ht="47.25" customHeight="1">
      <x:c r="A52" s="7" t="str">
        <x:v>TC-BR-DATA-05-A</x:v>
      </x:c>
      <x:c r="B52" s="7" t="str">
        <x:v>BR-DATA-05</x:v>
      </x:c>
      <x:c r="C52" s="7" t="str">
        <x:v>FR-DATA-05</x:v>
      </x:c>
      <x:c r="D52" s="7" t="str">
        <x:v>Validation without fabrication acceptance</x:v>
      </x:c>
      <x:c r="E52" s="7" t="str">
        <x:v>Functional</x:v>
      </x:c>
      <x:c r="F52" s="7" t="str">
        <x:v>Must</x:v>
      </x:c>
      <x:c r="G52" s="7" t="str">
        <x:v>R1</x:v>
      </x:c>
      <x:c r="H52" s="7" t="str">
        <x:v>FX-DATA-05</x:v>
      </x:c>
      <x:c r="I52" s="7" t="str">
        <x:v>Synthetic tenant A; verified actor with intended scope; relevant pack and connector test profile active; reset fixture before execution.</x:v>
      </x:c>
      <x:c r="J52" s="7" t="str">
        <x:v>1. Load FX-DATA-05. 2. Validation returns field paths and reason codes. Permitted outlier overrides require a scoped reviewer and reason. 3. Capture UI/API results and stored receipt or audit evidence.</x:v>
      </x:c>
      <x:c r="K52" s="7" t="str">
        <x:v>Invalid units block submission; a permitted override retains the original value, reason and reviewer identity.</x:v>
      </x:c>
      <x:c r="L52" s="10" t="str">
        <x:v>Not run</x:v>
      </x:c>
      <x:c r="M52" s="10" t="str">
        <x:v>QA with Frontline worker and programme data owner</x:v>
      </x:c>
      <x:c r="N52" s="10" t="str"/>
      <x:c r="O52" s="10" t="str"/>
      <x:c r="P52" s="7" t="n">
        <x:f>IF(LEN(N52)&gt;0,1,0)</x:f>
        <x:v>0</x:v>
      </x:c>
    </x:row>
    <x:row r="53" ht="47.25" customHeight="1">
      <x:c r="A53" s="8" t="str">
        <x:v>TC-BR-DATA-05-B</x:v>
      </x:c>
      <x:c r="B53" s="8" t="str">
        <x:v>BR-DATA-05</x:v>
      </x:c>
      <x:c r="C53" s="8" t="str">
        <x:v>FR-DATA-05</x:v>
      </x:c>
      <x:c r="D53" s="8" t="str">
        <x:v>Validation without fabrication adverse condition</x:v>
      </x:c>
      <x:c r="E53" s="8" t="str">
        <x:v>Negative or recovery</x:v>
      </x:c>
      <x:c r="F53" s="8" t="str">
        <x:v>Must</x:v>
      </x:c>
      <x:c r="G53" s="8" t="str">
        <x:v>R1</x:v>
      </x:c>
      <x:c r="H53" s="8" t="str">
        <x:v>FX-DATA-05-NEG</x:v>
      </x:c>
      <x:c r="I53" s="8" t="str">
        <x:v>Isolated synthetic tenant; begin from the corresponding acceptance scenario; inject only the named adverse condition.</x:v>
      </x:c>
      <x:c r="J53" s="8" t="str">
        <x:v>1. Establish the normal precondition. 2. Submit an unsupported unit or impossible date; block submission without coercing the value. 3. Inspect user state, side effects, audit and any recovery queue.</x:v>
      </x:c>
      <x:c r="K53" s="8" t="str">
        <x:v>Submit an unsupported unit or impossible date; block submission without coercing the value. Evidence must show the actual final state and any accountable unresolved work.</x:v>
      </x:c>
      <x:c r="L53" s="10" t="str">
        <x:v>Not run</x:v>
      </x:c>
      <x:c r="M53" s="10" t="str">
        <x:v>QA with Frontline worker and programme data owner</x:v>
      </x:c>
      <x:c r="N53" s="10" t="str"/>
      <x:c r="O53" s="10" t="str"/>
      <x:c r="P53" s="8" t="n">
        <x:f>IF(LEN(N53)&gt;0,1,0)</x:f>
        <x:v>0</x:v>
      </x:c>
    </x:row>
    <x:row r="54" ht="47.25" customHeight="1">
      <x:c r="A54" s="7" t="str">
        <x:v>TC-BR-DATA-06-A</x:v>
      </x:c>
      <x:c r="B54" s="7" t="str">
        <x:v>BR-DATA-06</x:v>
      </x:c>
      <x:c r="C54" s="7" t="str">
        <x:v>FR-DATA-06</x:v>
      </x:c>
      <x:c r="D54" s="7" t="str">
        <x:v>Traceable amendments acceptance</x:v>
      </x:c>
      <x:c r="E54" s="7" t="str">
        <x:v>Functional</x:v>
      </x:c>
      <x:c r="F54" s="7" t="str">
        <x:v>Must</x:v>
      </x:c>
      <x:c r="G54" s="7" t="str">
        <x:v>R1</x:v>
      </x:c>
      <x:c r="H54" s="7" t="str">
        <x:v>FX-DATA-06</x:v>
      </x:c>
      <x:c r="I54" s="7" t="str">
        <x:v>Synthetic tenant A; verified actor with intended scope; relevant pack and connector test profile active; reset fixture before execution.</x:v>
      </x:c>
      <x:c r="J54" s="7" t="str">
        <x:v>1. Load FX-DATA-06. 2. Amendment records supersedes_id and reason. Lineage locates dependent plans, model results and submissions. 3. Capture UI/API results and stored receipt or audit evidence.</x:v>
      </x:c>
      <x:c r="K54" s="7" t="str">
        <x:v>Correcting a key fact reveals all dependent AI results and submissions, marks invalidated outputs and creates the necessary reconciliation tasks.</x:v>
      </x:c>
      <x:c r="L54" s="10" t="str">
        <x:v>Not run</x:v>
      </x:c>
      <x:c r="M54" s="10" t="str">
        <x:v>QA with Frontline worker and programme data owner</x:v>
      </x:c>
      <x:c r="N54" s="10" t="str"/>
      <x:c r="O54" s="10" t="str"/>
      <x:c r="P54" s="7" t="n">
        <x:f>IF(LEN(N54)&gt;0,1,0)</x:f>
        <x:v>0</x:v>
      </x:c>
    </x:row>
    <x:row r="55" ht="47.25" customHeight="1">
      <x:c r="A55" s="8" t="str">
        <x:v>TC-BR-DATA-06-B</x:v>
      </x:c>
      <x:c r="B55" s="8" t="str">
        <x:v>BR-DATA-06</x:v>
      </x:c>
      <x:c r="C55" s="8" t="str">
        <x:v>FR-DATA-06</x:v>
      </x:c>
      <x:c r="D55" s="8" t="str">
        <x:v>Traceable amendments adverse condition</x:v>
      </x:c>
      <x:c r="E55" s="8" t="str">
        <x:v>Negative or recovery</x:v>
      </x:c>
      <x:c r="F55" s="8" t="str">
        <x:v>Must</x:v>
      </x:c>
      <x:c r="G55" s="8" t="str">
        <x:v>R1</x:v>
      </x:c>
      <x:c r="H55" s="8" t="str">
        <x:v>FX-DATA-06-NEG</x:v>
      </x:c>
      <x:c r="I55" s="8" t="str">
        <x:v>Isolated synthetic tenant; begin from the corresponding acceptance scenario; inject only the named adverse condition.</x:v>
      </x:c>
      <x:c r="J55" s="8" t="str">
        <x:v>1. Establish the normal precondition. 2. Amend a fact used in a pending order; invalidate approval and require re-evaluation. 3. Inspect user state, side effects, audit and any recovery queue.</x:v>
      </x:c>
      <x:c r="K55" s="8" t="str">
        <x:v>Amend a fact used in a pending order; invalidate approval and require re-evaluation. Evidence must show the actual final state and any accountable unresolved work.</x:v>
      </x:c>
      <x:c r="L55" s="10" t="str">
        <x:v>Not run</x:v>
      </x:c>
      <x:c r="M55" s="10" t="str">
        <x:v>QA with Frontline worker and programme data owner</x:v>
      </x:c>
      <x:c r="N55" s="10" t="str"/>
      <x:c r="O55" s="10" t="str"/>
      <x:c r="P55" s="8" t="n">
        <x:f>IF(LEN(N55)&gt;0,1,0)</x:f>
        <x:v>0</x:v>
      </x:c>
    </x:row>
    <x:row r="56" ht="47.25" customHeight="1">
      <x:c r="A56" s="7" t="str">
        <x:v>TC-BR-DATA-07-A</x:v>
      </x:c>
      <x:c r="B56" s="7" t="str">
        <x:v>BR-DATA-07</x:v>
      </x:c>
      <x:c r="C56" s="7" t="str">
        <x:v>FR-DATA-07</x:v>
      </x:c>
      <x:c r="D56" s="7" t="str">
        <x:v>Concurrent edits acceptance</x:v>
      </x:c>
      <x:c r="E56" s="7" t="str">
        <x:v>Functional</x:v>
      </x:c>
      <x:c r="F56" s="7" t="str">
        <x:v>Must</x:v>
      </x:c>
      <x:c r="G56" s="7" t="str">
        <x:v>R1</x:v>
      </x:c>
      <x:c r="H56" s="7" t="str">
        <x:v>FX-DATA-07</x:v>
      </x:c>
      <x:c r="I56" s="7" t="str">
        <x:v>Synthetic tenant A; verified actor with intended scope; relevant pack and connector test profile active; reset fixture before execution.</x:v>
      </x:c>
      <x:c r="J56" s="7" t="str">
        <x:v>1. Load FX-DATA-07. 2. Compare expected record version before commit. Store both candidate revisions and a conflict object on collision. 3. Capture UI/API results and stored receipt or audit evidence.</x:v>
      </x:c>
      <x:c r="K56" s="7" t="str">
        <x:v>Two offline edits to the same observation produce a visible conflict with both versions, and no unsafe destination update is committed before resolution.</x:v>
      </x:c>
      <x:c r="L56" s="10" t="str">
        <x:v>Not run</x:v>
      </x:c>
      <x:c r="M56" s="10" t="str">
        <x:v>QA with Frontline worker and programme data owner</x:v>
      </x:c>
      <x:c r="N56" s="10" t="str"/>
      <x:c r="O56" s="10" t="str"/>
      <x:c r="P56" s="7" t="n">
        <x:f>IF(LEN(N56)&gt;0,1,0)</x:f>
        <x:v>0</x:v>
      </x:c>
    </x:row>
    <x:row r="57" ht="47.25" customHeight="1">
      <x:c r="A57" s="8" t="str">
        <x:v>TC-BR-DATA-07-B</x:v>
      </x:c>
      <x:c r="B57" s="8" t="str">
        <x:v>BR-DATA-07</x:v>
      </x:c>
      <x:c r="C57" s="8" t="str">
        <x:v>FR-DATA-07</x:v>
      </x:c>
      <x:c r="D57" s="8" t="str">
        <x:v>Concurrent edits adverse condition</x:v>
      </x:c>
      <x:c r="E57" s="8" t="str">
        <x:v>Negative or recovery</x:v>
      </x:c>
      <x:c r="F57" s="8" t="str">
        <x:v>Must</x:v>
      </x:c>
      <x:c r="G57" s="8" t="str">
        <x:v>R1</x:v>
      </x:c>
      <x:c r="H57" s="8" t="str">
        <x:v>FX-DATA-07-NEG</x:v>
      </x:c>
      <x:c r="I57" s="8" t="str">
        <x:v>Isolated synthetic tenant; begin from the corresponding acceptance scenario; inject only the named adverse condition.</x:v>
      </x:c>
      <x:c r="J57" s="8" t="str">
        <x:v>1. Establish the normal precondition. 2. Sync two devices with contradictory edits; no silent overwrite may occur. 3. Inspect user state, side effects, audit and any recovery queue.</x:v>
      </x:c>
      <x:c r="K57" s="8" t="str">
        <x:v>Sync two devices with contradictory edits; no silent overwrite may occur. Evidence must show the actual final state and any accountable unresolved work.</x:v>
      </x:c>
      <x:c r="L57" s="10" t="str">
        <x:v>Not run</x:v>
      </x:c>
      <x:c r="M57" s="10" t="str">
        <x:v>QA with Frontline worker and programme data owner</x:v>
      </x:c>
      <x:c r="N57" s="10" t="str"/>
      <x:c r="O57" s="10" t="str"/>
      <x:c r="P57" s="8" t="n">
        <x:f>IF(LEN(N57)&gt;0,1,0)</x:f>
        <x:v>0</x:v>
      </x:c>
    </x:row>
    <x:row r="58" ht="47.25" customHeight="1">
      <x:c r="A58" s="7" t="str">
        <x:v>TC-BR-DATA-08-A</x:v>
      </x:c>
      <x:c r="B58" s="7" t="str">
        <x:v>BR-DATA-08</x:v>
      </x:c>
      <x:c r="C58" s="7" t="str">
        <x:v>FR-DATA-08</x:v>
      </x:c>
      <x:c r="D58" s="7" t="str">
        <x:v>Documents and media acceptance</x:v>
      </x:c>
      <x:c r="E58" s="7" t="str">
        <x:v>Functional</x:v>
      </x:c>
      <x:c r="F58" s="7" t="str">
        <x:v>Must</x:v>
      </x:c>
      <x:c r="G58" s="7" t="str">
        <x:v>R1</x:v>
      </x:c>
      <x:c r="H58" s="7" t="str">
        <x:v>FX-DATA-08</x:v>
      </x:c>
      <x:c r="I58" s="7" t="str">
        <x:v>Synthetic tenant A; verified actor with intended scope; relevant pack and connector test profile active; reset fixture before execution.</x:v>
      </x:c>
      <x:c r="J58" s="7" t="str">
        <x:v>1. Load FX-DATA-08. 2. Media progresses through uploaded, scanned, quality_checked and available. Extracted fields preserve source offsets. 3. Capture UI/API results and stored receipt or audit evidence.</x:v>
      </x:c>
      <x:c r="K58" s="7" t="str">
        <x:v>A low-quality image cannot silently generate confirmed values; deleting an unsubmitted recording removes the associated draft references.</x:v>
      </x:c>
      <x:c r="L58" s="10" t="str">
        <x:v>Not run</x:v>
      </x:c>
      <x:c r="M58" s="10" t="str">
        <x:v>QA with Frontline worker and programme data owner</x:v>
      </x:c>
      <x:c r="N58" s="10" t="str"/>
      <x:c r="O58" s="10" t="str"/>
      <x:c r="P58" s="7" t="n">
        <x:f>IF(LEN(N58)&gt;0,1,0)</x:f>
        <x:v>0</x:v>
      </x:c>
    </x:row>
    <x:row r="59" ht="47.25" customHeight="1">
      <x:c r="A59" s="8" t="str">
        <x:v>TC-BR-DATA-08-B</x:v>
      </x:c>
      <x:c r="B59" s="8" t="str">
        <x:v>BR-DATA-08</x:v>
      </x:c>
      <x:c r="C59" s="8" t="str">
        <x:v>FR-DATA-08</x:v>
      </x:c>
      <x:c r="D59" s="8" t="str">
        <x:v>Documents and media adverse condition</x:v>
      </x:c>
      <x:c r="E59" s="8" t="str">
        <x:v>Negative or recovery</x:v>
      </x:c>
      <x:c r="F59" s="8" t="str">
        <x:v>Must</x:v>
      </x:c>
      <x:c r="G59" s="8" t="str">
        <x:v>R1</x:v>
      </x:c>
      <x:c r="H59" s="8" t="str">
        <x:v>FX-DATA-08-NEG</x:v>
      </x:c>
      <x:c r="I59" s="8" t="str">
        <x:v>Isolated synthetic tenant; begin from the corresponding acceptance scenario; inject only the named adverse condition.</x:v>
      </x:c>
      <x:c r="J59" s="8" t="str">
        <x:v>1. Establish the normal precondition. 2. Attach a wrong-person or unscanned document; prevent provider invocation and authoritative write. 3. Inspect user state, side effects, audit and any recovery queue.</x:v>
      </x:c>
      <x:c r="K59" s="8" t="str">
        <x:v>Attach a wrong-person or unscanned document; prevent provider invocation and authoritative write. Evidence must show the actual final state and any accountable unresolved work.</x:v>
      </x:c>
      <x:c r="L59" s="10" t="str">
        <x:v>Not run</x:v>
      </x:c>
      <x:c r="M59" s="10" t="str">
        <x:v>QA with Frontline worker and programme data owner</x:v>
      </x:c>
      <x:c r="N59" s="10" t="str"/>
      <x:c r="O59" s="10" t="str"/>
      <x:c r="P59" s="8" t="n">
        <x:f>IF(LEN(N59)&gt;0,1,0)</x:f>
        <x:v>0</x:v>
      </x:c>
    </x:row>
    <x:row r="60" ht="47.25" customHeight="1">
      <x:c r="A60" s="7" t="str">
        <x:v>TC-BR-DATA-09-A</x:v>
      </x:c>
      <x:c r="B60" s="7" t="str">
        <x:v>BR-DATA-09</x:v>
      </x:c>
      <x:c r="C60" s="7" t="str">
        <x:v>FR-DATA-09</x:v>
      </x:c>
      <x:c r="D60" s="7" t="str">
        <x:v>Authoritative field mapping acceptance</x:v>
      </x:c>
      <x:c r="E60" s="7" t="str">
        <x:v>Functional</x:v>
      </x:c>
      <x:c r="F60" s="7" t="str">
        <x:v>Must</x:v>
      </x:c>
      <x:c r="G60" s="7" t="str">
        <x:v>R1</x:v>
      </x:c>
      <x:c r="H60" s="7" t="str">
        <x:v>FX-DATA-09</x:v>
      </x:c>
      <x:c r="I60" s="7" t="str">
        <x:v>Synthetic tenant A; verified actor with intended scope; relevant pack and connector test profile active; reset fixture before execution.</x:v>
      </x:c>
      <x:c r="J60" s="7" t="str">
        <x:v>1. Load FX-DATA-09. 2. Mapping packages contain source field, target field, transformation, unit and null semantics plus conformance fixtures. 3. Capture UI/API results and stored receipt or audit evidence.</x:v>
      </x:c>
      <x:c r="K60" s="7" t="str">
        <x:v>A mapping change passes owner-approved fixtures and does not reinterpret earlier accepted records without a documented migration.</x:v>
      </x:c>
      <x:c r="L60" s="10" t="str">
        <x:v>Not run</x:v>
      </x:c>
      <x:c r="M60" s="10" t="str">
        <x:v>QA with Frontline worker and programme data owner</x:v>
      </x:c>
      <x:c r="N60" s="10" t="str"/>
      <x:c r="O60" s="10" t="str"/>
      <x:c r="P60" s="7" t="n">
        <x:f>IF(LEN(N60)&gt;0,1,0)</x:f>
        <x:v>0</x:v>
      </x:c>
    </x:row>
    <x:row r="61" ht="47.25" customHeight="1">
      <x:c r="A61" s="8" t="str">
        <x:v>TC-BR-DATA-09-B</x:v>
      </x:c>
      <x:c r="B61" s="8" t="str">
        <x:v>BR-DATA-09</x:v>
      </x:c>
      <x:c r="C61" s="8" t="str">
        <x:v>FR-DATA-09</x:v>
      </x:c>
      <x:c r="D61" s="8" t="str">
        <x:v>Authoritative field mapping adverse condition</x:v>
      </x:c>
      <x:c r="E61" s="8" t="str">
        <x:v>Negative or recovery</x:v>
      </x:c>
      <x:c r="F61" s="8" t="str">
        <x:v>Must</x:v>
      </x:c>
      <x:c r="G61" s="8" t="str">
        <x:v>R1</x:v>
      </x:c>
      <x:c r="H61" s="8" t="str">
        <x:v>FX-DATA-09-NEG</x:v>
      </x:c>
      <x:c r="I61" s="8" t="str">
        <x:v>Isolated synthetic tenant; begin from the corresponding acceptance scenario; inject only the named adverse condition.</x:v>
      </x:c>
      <x:c r="J61" s="8" t="str">
        <x:v>1. Establish the normal precondition. 2. Remove a target mandatory field in a new mapping; activation must fail and queued work stay on a compatible version. 3. Inspect user state, side effects, audit and any recovery queue.</x:v>
      </x:c>
      <x:c r="K61" s="8" t="str">
        <x:v>Remove a target mandatory field in a new mapping; activation must fail and queued work stay on a compatible version. Evidence must show the actual final state and any accountable unresolved work.</x:v>
      </x:c>
      <x:c r="L61" s="10" t="str">
        <x:v>Not run</x:v>
      </x:c>
      <x:c r="M61" s="10" t="str">
        <x:v>QA with Frontline worker and programme data owner</x:v>
      </x:c>
      <x:c r="N61" s="10" t="str"/>
      <x:c r="O61" s="10" t="str"/>
      <x:c r="P61" s="8" t="n">
        <x:f>IF(LEN(N61)&gt;0,1,0)</x:f>
        <x:v>0</x:v>
      </x:c>
    </x:row>
    <x:row r="62" ht="47.25" customHeight="1">
      <x:c r="A62" s="7" t="str">
        <x:v>TC-BR-DATA-10-A</x:v>
      </x:c>
      <x:c r="B62" s="7" t="str">
        <x:v>BR-DATA-10</x:v>
      </x:c>
      <x:c r="C62" s="7" t="str">
        <x:v>FR-DATA-10</x:v>
      </x:c>
      <x:c r="D62" s="7" t="str">
        <x:v>Selective permitted reuse acceptance</x:v>
      </x:c>
      <x:c r="E62" s="7" t="str">
        <x:v>Functional</x:v>
      </x:c>
      <x:c r="F62" s="7" t="str">
        <x:v>Must</x:v>
      </x:c>
      <x:c r="G62" s="7" t="str">
        <x:v>R1</x:v>
      </x:c>
      <x:c r="H62" s="7" t="str">
        <x:v>FX-DATA-10</x:v>
      </x:c>
      <x:c r="I62" s="7" t="str">
        <x:v>Synthetic tenant A; verified actor with intended scope; relevant pack and connector test profile active; reset fixture before execution.</x:v>
      </x:c>
      <x:c r="J62" s="7" t="str">
        <x:v>1. Load FX-DATA-10. 2. Each action creates a field allowlist from the approved destination and purpose; a source fact can have several permitted uses. 3. Capture UI/API results and stored receipt or audit evidence.</x:v>
      </x:c>
      <x:c r="K62" s="7" t="str">
        <x:v>A fact approved for one task is excluded from another provider's payload when that second use lacks the required permission.</x:v>
      </x:c>
      <x:c r="L62" s="10" t="str">
        <x:v>Not run</x:v>
      </x:c>
      <x:c r="M62" s="10" t="str">
        <x:v>QA with Frontline worker and programme data owner</x:v>
      </x:c>
      <x:c r="N62" s="10" t="str"/>
      <x:c r="O62" s="10" t="str"/>
      <x:c r="P62" s="7" t="n">
        <x:f>IF(LEN(N62)&gt;0,1,0)</x:f>
        <x:v>0</x:v>
      </x:c>
    </x:row>
    <x:row r="63" ht="47.25" customHeight="1">
      <x:c r="A63" s="8" t="str">
        <x:v>TC-BR-DATA-10-B</x:v>
      </x:c>
      <x:c r="B63" s="8" t="str">
        <x:v>BR-DATA-10</x:v>
      </x:c>
      <x:c r="C63" s="8" t="str">
        <x:v>FR-DATA-10</x:v>
      </x:c>
      <x:c r="D63" s="8" t="str">
        <x:v>Selective permitted reuse adverse condition</x:v>
      </x:c>
      <x:c r="E63" s="8" t="str">
        <x:v>Negative or recovery</x:v>
      </x:c>
      <x:c r="F63" s="8" t="str">
        <x:v>Must</x:v>
      </x:c>
      <x:c r="G63" s="8" t="str">
        <x:v>R1</x:v>
      </x:c>
      <x:c r="H63" s="8" t="str">
        <x:v>FX-DATA-10-NEG</x:v>
      </x:c>
      <x:c r="I63" s="8" t="str">
        <x:v>Isolated synthetic tenant; begin from the corresponding acceptance scenario; inject only the named adverse condition.</x:v>
      </x:c>
      <x:c r="J63" s="8" t="str">
        <x:v>1. Establish the normal precondition. 2. Reuse a permitted clinical fact for an unapproved provider purpose; omit it and block an invalid payload. 3. Inspect user state, side effects, audit and any recovery queue.</x:v>
      </x:c>
      <x:c r="K63" s="8" t="str">
        <x:v>Reuse a permitted clinical fact for an unapproved provider purpose; omit it and block an invalid payload. Evidence must show the actual final state and any accountable unresolved work.</x:v>
      </x:c>
      <x:c r="L63" s="10" t="str">
        <x:v>Not run</x:v>
      </x:c>
      <x:c r="M63" s="10" t="str">
        <x:v>QA with Frontline worker and programme data owner</x:v>
      </x:c>
      <x:c r="N63" s="10" t="str"/>
      <x:c r="O63" s="10" t="str"/>
      <x:c r="P63" s="8" t="n">
        <x:f>IF(LEN(N63)&gt;0,1,0)</x:f>
        <x:v>0</x:v>
      </x:c>
    </x:row>
    <x:row r="64" ht="47.25" customHeight="1">
      <x:c r="A64" s="7" t="str">
        <x:v>TC-BR-DATA-11-A</x:v>
      </x:c>
      <x:c r="B64" s="7" t="str">
        <x:v>BR-DATA-11</x:v>
      </x:c>
      <x:c r="C64" s="7" t="str">
        <x:v>FR-DATA-11</x:v>
      </x:c>
      <x:c r="D64" s="7" t="str">
        <x:v>Controlled migration acceptance</x:v>
      </x:c>
      <x:c r="E64" s="7" t="str">
        <x:v>Functional</x:v>
      </x:c>
      <x:c r="F64" s="7" t="str">
        <x:v>Should</x:v>
      </x:c>
      <x:c r="G64" s="7" t="str">
        <x:v>R2</x:v>
      </x:c>
      <x:c r="H64" s="7" t="str">
        <x:v>FX-DATA-11</x:v>
      </x:c>
      <x:c r="I64" s="7" t="str">
        <x:v>Synthetic tenant A; verified actor with intended scope; relevant pack and connector test profile active; reset fixture before execution.</x:v>
      </x:c>
      <x:c r="J64" s="7" t="str">
        <x:v>1. Load FX-DATA-11. 2. Migration runs produce source totals, parsed totals, rejected rows, duplicate candidates and reversible import batch IDs. 3. Capture UI/API results and stored receipt or audit evidence.</x:v>
      </x:c>
      <x:c r="K64" s="7" t="str">
        <x:v>A migration sample reconciles source counts, rejects, merges and accepted records, with a reversible process for failed batches.</x:v>
      </x:c>
      <x:c r="L64" s="10" t="str">
        <x:v>Not run</x:v>
      </x:c>
      <x:c r="M64" s="10" t="str">
        <x:v>QA with Frontline worker and programme data owner</x:v>
      </x:c>
      <x:c r="N64" s="10" t="str"/>
      <x:c r="O64" s="10" t="str"/>
      <x:c r="P64" s="7" t="n">
        <x:f>IF(LEN(N64)&gt;0,1,0)</x:f>
        <x:v>0</x:v>
      </x:c>
    </x:row>
    <x:row r="65" ht="47.25" customHeight="1">
      <x:c r="A65" s="8" t="str">
        <x:v>TC-BR-DATA-11-B</x:v>
      </x:c>
      <x:c r="B65" s="8" t="str">
        <x:v>BR-DATA-11</x:v>
      </x:c>
      <x:c r="C65" s="8" t="str">
        <x:v>FR-DATA-11</x:v>
      </x:c>
      <x:c r="D65" s="8" t="str">
        <x:v>Controlled migration adverse condition</x:v>
      </x:c>
      <x:c r="E65" s="8" t="str">
        <x:v>Negative or recovery</x:v>
      </x:c>
      <x:c r="F65" s="8" t="str">
        <x:v>Should</x:v>
      </x:c>
      <x:c r="G65" s="8" t="str">
        <x:v>R2</x:v>
      </x:c>
      <x:c r="H65" s="8" t="str">
        <x:v>FX-DATA-11-NEG</x:v>
      </x:c>
      <x:c r="I65" s="8" t="str">
        <x:v>Isolated synthetic tenant; begin from the corresponding acceptance scenario; inject only the named adverse condition.</x:v>
      </x:c>
      <x:c r="J65" s="8" t="str">
        <x:v>1. Establish the normal precondition. 2. Repeat a batch containing duplicate people; report candidates without creating duplicate official enrolments. 3. Inspect user state, side effects, audit and any recovery queue.</x:v>
      </x:c>
      <x:c r="K65" s="8" t="str">
        <x:v>Repeat a batch containing duplicate people; report candidates without creating duplicate official enrolments. Evidence must show the actual final state and any accountable unresolved work.</x:v>
      </x:c>
      <x:c r="L65" s="10" t="str">
        <x:v>Not run</x:v>
      </x:c>
      <x:c r="M65" s="10" t="str">
        <x:v>QA with Frontline worker and programme data owner</x:v>
      </x:c>
      <x:c r="N65" s="10" t="str"/>
      <x:c r="O65" s="10" t="str"/>
      <x:c r="P65" s="8" t="n">
        <x:f>IF(LEN(N65)&gt;0,1,0)</x:f>
        <x:v>0</x:v>
      </x:c>
    </x:row>
    <x:row r="66" ht="47.25" customHeight="1">
      <x:c r="A66" s="7" t="str">
        <x:v>TC-BR-DATA-12-A</x:v>
      </x:c>
      <x:c r="B66" s="7" t="str">
        <x:v>BR-DATA-12</x:v>
      </x:c>
      <x:c r="C66" s="7" t="str">
        <x:v>FR-DATA-12</x:v>
      </x:c>
      <x:c r="D66" s="7" t="str">
        <x:v>Measurement of actual reuse acceptance</x:v>
      </x:c>
      <x:c r="E66" s="7" t="str">
        <x:v>Functional</x:v>
      </x:c>
      <x:c r="F66" s="7" t="str">
        <x:v>Must</x:v>
      </x:c>
      <x:c r="G66" s="7" t="str">
        <x:v>R1</x:v>
      </x:c>
      <x:c r="H66" s="7" t="str">
        <x:v>FX-DATA-12</x:v>
      </x:c>
      <x:c r="I66" s="7" t="str">
        <x:v>Synthetic tenant A; verified actor with intended scope; relevant pack and connector test profile active; reset fixture before execution.</x:v>
      </x:c>
      <x:c r="J66" s="7" t="str">
        <x:v>1. Load FX-DATA-12. 2. Reuse opportunities are logged before question display, with reasons for reuse, recapture or blocked reuse. 3. Capture UI/API results and stored receipt or audit evidence.</x:v>
      </x:c>
      <x:c r="K66" s="7" t="str">
        <x:v>Auditors can reproduce a sample reuse calculation from event records and separate avoidable re-entry from clinically required recapture.</x:v>
      </x:c>
      <x:c r="L66" s="10" t="str">
        <x:v>Not run</x:v>
      </x:c>
      <x:c r="M66" s="10" t="str">
        <x:v>QA with Frontline worker and programme data owner</x:v>
      </x:c>
      <x:c r="N66" s="10" t="str"/>
      <x:c r="O66" s="10" t="str"/>
      <x:c r="P66" s="7" t="n">
        <x:f>IF(LEN(N66)&gt;0,1,0)</x:f>
        <x:v>0</x:v>
      </x:c>
    </x:row>
    <x:row r="67" ht="47.25" customHeight="1">
      <x:c r="A67" s="8" t="str">
        <x:v>TC-BR-DATA-12-B</x:v>
      </x:c>
      <x:c r="B67" s="8" t="str">
        <x:v>BR-DATA-12</x:v>
      </x:c>
      <x:c r="C67" s="8" t="str">
        <x:v>FR-DATA-12</x:v>
      </x:c>
      <x:c r="D67" s="8" t="str">
        <x:v>Measurement of actual reuse adverse condition</x:v>
      </x:c>
      <x:c r="E67" s="8" t="str">
        <x:v>Negative or recovery</x:v>
      </x:c>
      <x:c r="F67" s="8" t="str">
        <x:v>Must</x:v>
      </x:c>
      <x:c r="G67" s="8" t="str">
        <x:v>R1</x:v>
      </x:c>
      <x:c r="H67" s="8" t="str">
        <x:v>FX-DATA-12-NEG</x:v>
      </x:c>
      <x:c r="I67" s="8" t="str">
        <x:v>Isolated synthetic tenant; begin from the corresponding acceptance scenario; inject only the named adverse condition.</x:v>
      </x:c>
      <x:c r="J67" s="8" t="str">
        <x:v>1. Establish the normal precondition. 2. Count clinically new measurements as duplicate-entry savings; the metric must exclude them. 3. Inspect user state, side effects, audit and any recovery queue.</x:v>
      </x:c>
      <x:c r="K67" s="8" t="str">
        <x:v>Count clinically new measurements as duplicate-entry savings; the metric must exclude them. Evidence must show the actual final state and any accountable unresolved work.</x:v>
      </x:c>
      <x:c r="L67" s="10" t="str">
        <x:v>Not run</x:v>
      </x:c>
      <x:c r="M67" s="10" t="str">
        <x:v>QA with Frontline worker and programme data owner</x:v>
      </x:c>
      <x:c r="N67" s="10" t="str"/>
      <x:c r="O67" s="10" t="str"/>
      <x:c r="P67" s="8" t="n">
        <x:f>IF(LEN(N67)&gt;0,1,0)</x:f>
        <x:v>0</x:v>
      </x:c>
    </x:row>
    <x:row r="68" ht="47.25" customHeight="1">
      <x:c r="A68" s="7" t="str">
        <x:v>TC-BR-PROG-01-A</x:v>
      </x:c>
      <x:c r="B68" s="7" t="str">
        <x:v>BR-PROG-01</x:v>
      </x:c>
      <x:c r="C68" s="7" t="str">
        <x:v>FR-PROG-01</x:v>
      </x:c>
      <x:c r="D68" s="7" t="str">
        <x:v>Versioned programme packs acceptance</x:v>
      </x:c>
      <x:c r="E68" s="7" t="str">
        <x:v>Functional</x:v>
      </x:c>
      <x:c r="F68" s="7" t="str">
        <x:v>Must</x:v>
      </x:c>
      <x:c r="G68" s="7" t="str">
        <x:v>R1</x:v>
      </x:c>
      <x:c r="H68" s="7" t="str">
        <x:v>FX-PROG-01</x:v>
      </x:c>
      <x:c r="I68" s="7" t="str">
        <x:v>Synthetic tenant A; verified actor with intended scope; relevant pack and connector test profile active; reset fixture before execution.</x:v>
      </x:c>
      <x:c r="J68" s="7" t="str">
        <x:v>1. Load FX-PROG-01. 2. Activation requires valid schemas, approved mappings, effective dates and named programme and clinical approvals. 3. Capture UI/API results and stored receipt or audit evidence.</x:v>
      </x:c>
      <x:c r="K68" s="7" t="str">
        <x:v>An incomplete or unapproved pack cannot be activated, and each completed encounter records the pack version used.</x:v>
      </x:c>
      <x:c r="L68" s="10" t="str">
        <x:v>Not run</x:v>
      </x:c>
      <x:c r="M68" s="10" t="str">
        <x:v>QA with Programme owner</x:v>
      </x:c>
      <x:c r="N68" s="10" t="str"/>
      <x:c r="O68" s="10" t="str"/>
      <x:c r="P68" s="7" t="n">
        <x:f>IF(LEN(N68)&gt;0,1,0)</x:f>
        <x:v>0</x:v>
      </x:c>
    </x:row>
    <x:row r="69" ht="47.25" customHeight="1">
      <x:c r="A69" s="8" t="str">
        <x:v>TC-BR-PROG-01-B</x:v>
      </x:c>
      <x:c r="B69" s="8" t="str">
        <x:v>BR-PROG-01</x:v>
      </x:c>
      <x:c r="C69" s="8" t="str">
        <x:v>FR-PROG-01</x:v>
      </x:c>
      <x:c r="D69" s="8" t="str">
        <x:v>Versioned programme packs adverse condition</x:v>
      </x:c>
      <x:c r="E69" s="8" t="str">
        <x:v>Negative or recovery</x:v>
      </x:c>
      <x:c r="F69" s="8" t="str">
        <x:v>Must</x:v>
      </x:c>
      <x:c r="G69" s="8" t="str">
        <x:v>R1</x:v>
      </x:c>
      <x:c r="H69" s="8" t="str">
        <x:v>FX-PROG-01-NEG</x:v>
      </x:c>
      <x:c r="I69" s="8" t="str">
        <x:v>Isolated synthetic tenant; begin from the corresponding acceptance scenario; inject only the named adverse condition.</x:v>
      </x:c>
      <x:c r="J69" s="8" t="str">
        <x:v>1. Establish the normal precondition. 2. Activate a pack with an unsigned escalation rule; it must remain unavailable. 3. Inspect user state, side effects, audit and any recovery queue.</x:v>
      </x:c>
      <x:c r="K69" s="8" t="str">
        <x:v>Activate a pack with an unsigned escalation rule; it must remain unavailable. Evidence must show the actual final state and any accountable unresolved work.</x:v>
      </x:c>
      <x:c r="L69" s="10" t="str">
        <x:v>Not run</x:v>
      </x:c>
      <x:c r="M69" s="10" t="str">
        <x:v>QA with Programme owner</x:v>
      </x:c>
      <x:c r="N69" s="10" t="str"/>
      <x:c r="O69" s="10" t="str"/>
      <x:c r="P69" s="8" t="n">
        <x:f>IF(LEN(N69)&gt;0,1,0)</x:f>
        <x:v>0</x:v>
      </x:c>
    </x:row>
    <x:row r="70" ht="47.25" customHeight="1">
      <x:c r="A70" s="7" t="str">
        <x:v>TC-BR-PROG-02-A</x:v>
      </x:c>
      <x:c r="B70" s="7" t="str">
        <x:v>BR-PROG-02</x:v>
      </x:c>
      <x:c r="C70" s="7" t="str">
        <x:v>FR-PROG-02</x:v>
      </x:c>
      <x:c r="D70" s="7" t="str">
        <x:v>Maternal health workflow acceptance</x:v>
      </x:c>
      <x:c r="E70" s="7" t="str">
        <x:v>Functional</x:v>
      </x:c>
      <x:c r="F70" s="7" t="str">
        <x:v>Must</x:v>
      </x:c>
      <x:c r="G70" s="7" t="str">
        <x:v>R1</x:v>
      </x:c>
      <x:c r="H70" s="7" t="str">
        <x:v>FX-PROG-02</x:v>
      </x:c>
      <x:c r="I70" s="7" t="str">
        <x:v>Synthetic tenant A; verified actor with intended scope; relevant pack and connector test profile active; reset fixture before execution.</x:v>
      </x:c>
      <x:c r="J70" s="7" t="str">
        <x:v>1. Load FX-PROG-02. 2. Maternal records use an episode identifier and outcome state; unknown dates are stored as unknown with task follow-up. 3. Capture UI/API results and stored receipt or audit evidence.</x:v>
      </x:c>
      <x:c r="K70" s="7" t="str">
        <x:v>Approved normal, uncertain, overdue, escalated and closed-episode scenarios follow the correct workflow and preserve episode identity.</x:v>
      </x:c>
      <x:c r="L70" s="10" t="str">
        <x:v>Not run</x:v>
      </x:c>
      <x:c r="M70" s="10" t="str">
        <x:v>QA with Programme owner</x:v>
      </x:c>
      <x:c r="N70" s="10" t="str"/>
      <x:c r="O70" s="10" t="str"/>
      <x:c r="P70" s="7" t="n">
        <x:f>IF(LEN(N70)&gt;0,1,0)</x:f>
        <x:v>0</x:v>
      </x:c>
    </x:row>
    <x:row r="71" ht="47.25" customHeight="1">
      <x:c r="A71" s="8" t="str">
        <x:v>TC-BR-PROG-02-B</x:v>
      </x:c>
      <x:c r="B71" s="8" t="str">
        <x:v>BR-PROG-02</x:v>
      </x:c>
      <x:c r="C71" s="8" t="str">
        <x:v>FR-PROG-02</x:v>
      </x:c>
      <x:c r="D71" s="8" t="str">
        <x:v>Maternal health workflow adverse condition</x:v>
      </x:c>
      <x:c r="E71" s="8" t="str">
        <x:v>Negative or recovery</x:v>
      </x:c>
      <x:c r="F71" s="8" t="str">
        <x:v>Must</x:v>
      </x:c>
      <x:c r="G71" s="8" t="str">
        <x:v>R1</x:v>
      </x:c>
      <x:c r="H71" s="8" t="str">
        <x:v>FX-PROG-02-NEG</x:v>
      </x:c>
      <x:c r="I71" s="8" t="str">
        <x:v>Isolated synthetic tenant; begin from the corresponding acceptance scenario; inject only the named adverse condition.</x:v>
      </x:c>
      <x:c r="J71" s="8" t="str">
        <x:v>1. Establish the normal precondition. 2. Record a completed pregnancy outcome; suppress future tasks for the closed episode without erasing history. 3. Inspect user state, side effects, audit and any recovery queue.</x:v>
      </x:c>
      <x:c r="K71" s="8" t="str">
        <x:v>Record a completed pregnancy outcome; suppress future tasks for the closed episode without erasing history. Evidence must show the actual final state and any accountable unresolved work.</x:v>
      </x:c>
      <x:c r="L71" s="10" t="str">
        <x:v>Not run</x:v>
      </x:c>
      <x:c r="M71" s="10" t="str">
        <x:v>QA with Programme owner</x:v>
      </x:c>
      <x:c r="N71" s="10" t="str"/>
      <x:c r="O71" s="10" t="str"/>
      <x:c r="P71" s="8" t="n">
        <x:f>IF(LEN(N71)&gt;0,1,0)</x:f>
        <x:v>0</x:v>
      </x:c>
    </x:row>
    <x:row r="72" ht="47.25" customHeight="1">
      <x:c r="A72" s="7" t="str">
        <x:v>TC-BR-PROG-03-A</x:v>
      </x:c>
      <x:c r="B72" s="7" t="str">
        <x:v>BR-PROG-03</x:v>
      </x:c>
      <x:c r="C72" s="7" t="str">
        <x:v>FR-PROG-03</x:v>
      </x:c>
      <x:c r="D72" s="7" t="str">
        <x:v>TB screening workflow acceptance</x:v>
      </x:c>
      <x:c r="E72" s="7" t="str">
        <x:v>Functional</x:v>
      </x:c>
      <x:c r="F72" s="7" t="str">
        <x:v>Must</x:v>
      </x:c>
      <x:c r="G72" s="7" t="str">
        <x:v>R1</x:v>
      </x:c>
      <x:c r="H72" s="7" t="str">
        <x:v>FX-PROG-03</x:v>
      </x:c>
      <x:c r="I72" s="7" t="str">
        <x:v>Synthetic tenant A; verified actor with intended scope; relevant pack and connector test profile active; reset fixture before execution.</x:v>
      </x:c>
      <x:c r="J72" s="7" t="str">
        <x:v>1. Load FX-PROG-03. 2. TB screening and programme registration are separate workflows with separate confirmation and receipt states. 3. Capture UI/API results and stored receipt or audit evidence.</x:v>
      </x:c>
      <x:c r="K72" s="7" t="str">
        <x:v>A low-risk AI output cannot suppress a referral required by the approved symptom protocol, and an unresolved result remains visible for follow-up.</x:v>
      </x:c>
      <x:c r="L72" s="10" t="str">
        <x:v>Not run</x:v>
      </x:c>
      <x:c r="M72" s="10" t="str">
        <x:v>QA with Programme owner</x:v>
      </x:c>
      <x:c r="N72" s="10" t="str"/>
      <x:c r="O72" s="10" t="str"/>
      <x:c r="P72" s="7" t="n">
        <x:f>IF(LEN(N72)&gt;0,1,0)</x:f>
        <x:v>0</x:v>
      </x:c>
    </x:row>
    <x:row r="73" ht="47.25" customHeight="1">
      <x:c r="A73" s="8" t="str">
        <x:v>TC-BR-PROG-03-B</x:v>
      </x:c>
      <x:c r="B73" s="8" t="str">
        <x:v>BR-PROG-03</x:v>
      </x:c>
      <x:c r="C73" s="8" t="str">
        <x:v>FR-PROG-03</x:v>
      </x:c>
      <x:c r="D73" s="8" t="str">
        <x:v>TB screening workflow adverse condition</x:v>
      </x:c>
      <x:c r="E73" s="8" t="str">
        <x:v>Negative or recovery</x:v>
      </x:c>
      <x:c r="F73" s="8" t="str">
        <x:v>Must</x:v>
      </x:c>
      <x:c r="G73" s="8" t="str">
        <x:v>R1</x:v>
      </x:c>
      <x:c r="H73" s="8" t="str">
        <x:v>FX-PROG-03-NEG</x:v>
      </x:c>
      <x:c r="I73" s="8" t="str">
        <x:v>Isolated synthetic tenant; begin from the corresponding acceptance scenario; inject only the named adverse condition.</x:v>
      </x:c>
      <x:c r="J73" s="8" t="str">
        <x:v>1. Establish the normal precondition. 2. Return a low-risk model output while the approved symptom rule escalates; retain the escalation. 3. Inspect user state, side effects, audit and any recovery queue.</x:v>
      </x:c>
      <x:c r="K73" s="8" t="str">
        <x:v>Return a low-risk model output while the approved symptom rule escalates; retain the escalation. Evidence must show the actual final state and any accountable unresolved work.</x:v>
      </x:c>
      <x:c r="L73" s="10" t="str">
        <x:v>Not run</x:v>
      </x:c>
      <x:c r="M73" s="10" t="str">
        <x:v>QA with Programme owner</x:v>
      </x:c>
      <x:c r="N73" s="10" t="str"/>
      <x:c r="O73" s="10" t="str"/>
      <x:c r="P73" s="8" t="n">
        <x:f>IF(LEN(N73)&gt;0,1,0)</x:f>
        <x:v>0</x:v>
      </x:c>
    </x:row>
    <x:row r="74" ht="47.25" customHeight="1">
      <x:c r="A74" s="7" t="str">
        <x:v>TC-BR-PROG-04-A</x:v>
      </x:c>
      <x:c r="B74" s="7" t="str">
        <x:v>BR-PROG-04</x:v>
      </x:c>
      <x:c r="C74" s="7" t="str">
        <x:v>FR-PROG-04</x:v>
      </x:c>
      <x:c r="D74" s="7" t="str">
        <x:v>Hypertension follow-up workflow acceptance</x:v>
      </x:c>
      <x:c r="E74" s="7" t="str">
        <x:v>Functional</x:v>
      </x:c>
      <x:c r="F74" s="7" t="str">
        <x:v>Must</x:v>
      </x:c>
      <x:c r="G74" s="7" t="str">
        <x:v>R1</x:v>
      </x:c>
      <x:c r="H74" s="7" t="str">
        <x:v>FX-PROG-04</x:v>
      </x:c>
      <x:c r="I74" s="7" t="str">
        <x:v>Synthetic tenant A; verified actor with intended scope; relevant pack and connector test profile active; reset fixture before execution.</x:v>
      </x:c>
      <x:c r="J74" s="7" t="str">
        <x:v>1. Load FX-PROG-04. 2. Measurements include device or observer, time, unit and context. Reported medicines are not signed prescriptions. 3. Capture UI/API results and stored receipt or audit evidence.</x:v>
      </x:c>
      <x:c r="K74" s="7" t="str">
        <x:v>Worker tests cannot issue or amend a prescription, and measurements retain unit, time, context and source.</x:v>
      </x:c>
      <x:c r="L74" s="10" t="str">
        <x:v>Not run</x:v>
      </x:c>
      <x:c r="M74" s="10" t="str">
        <x:v>QA with Programme owner</x:v>
      </x:c>
      <x:c r="N74" s="10" t="str"/>
      <x:c r="O74" s="10" t="str"/>
      <x:c r="P74" s="7" t="n">
        <x:f>IF(LEN(N74)&gt;0,1,0)</x:f>
        <x:v>0</x:v>
      </x:c>
    </x:row>
    <x:row r="75" ht="47.25" customHeight="1">
      <x:c r="A75" s="8" t="str">
        <x:v>TC-BR-PROG-04-B</x:v>
      </x:c>
      <x:c r="B75" s="8" t="str">
        <x:v>BR-PROG-04</x:v>
      </x:c>
      <x:c r="C75" s="8" t="str">
        <x:v>FR-PROG-04</x:v>
      </x:c>
      <x:c r="D75" s="8" t="str">
        <x:v>Hypertension follow-up workflow adverse condition</x:v>
      </x:c>
      <x:c r="E75" s="8" t="str">
        <x:v>Negative or recovery</x:v>
      </x:c>
      <x:c r="F75" s="8" t="str">
        <x:v>Must</x:v>
      </x:c>
      <x:c r="G75" s="8" t="str">
        <x:v>R1</x:v>
      </x:c>
      <x:c r="H75" s="8" t="str">
        <x:v>FX-PROG-04-NEG</x:v>
      </x:c>
      <x:c r="I75" s="8" t="str">
        <x:v>Isolated synthetic tenant; begin from the corresponding acceptance scenario; inject only the named adverse condition.</x:v>
      </x:c>
      <x:c r="J75" s="8" t="str">
        <x:v>1. Establish the normal precondition. 2. A frontline worker attempts a medication order; reject the command and retain the report as history. 3. Inspect user state, side effects, audit and any recovery queue.</x:v>
      </x:c>
      <x:c r="K75" s="8" t="str">
        <x:v>A frontline worker attempts a medication order; reject the command and retain the report as history. Evidence must show the actual final state and any accountable unresolved work.</x:v>
      </x:c>
      <x:c r="L75" s="10" t="str">
        <x:v>Not run</x:v>
      </x:c>
      <x:c r="M75" s="10" t="str">
        <x:v>QA with Programme owner</x:v>
      </x:c>
      <x:c r="N75" s="10" t="str"/>
      <x:c r="O75" s="10" t="str"/>
      <x:c r="P75" s="8" t="n">
        <x:f>IF(LEN(N75)&gt;0,1,0)</x:f>
        <x:v>0</x:v>
      </x:c>
    </x:row>
    <x:row r="76" ht="47.25" customHeight="1">
      <x:c r="A76" s="7" t="str">
        <x:v>TC-BR-PROG-05-A</x:v>
      </x:c>
      <x:c r="B76" s="7" t="str">
        <x:v>BR-PROG-05</x:v>
      </x:c>
      <x:c r="C76" s="7" t="str">
        <x:v>FR-PROG-05</x:v>
      </x:c>
      <x:c r="D76" s="7" t="str">
        <x:v>Cross-programme scheduling acceptance</x:v>
      </x:c>
      <x:c r="E76" s="7" t="str">
        <x:v>Functional</x:v>
      </x:c>
      <x:c r="F76" s="7" t="str">
        <x:v>Must</x:v>
      </x:c>
      <x:c r="G76" s="7" t="str">
        <x:v>R1</x:v>
      </x:c>
      <x:c r="H76" s="7" t="str">
        <x:v>FX-PROG-05</x:v>
      </x:c>
      <x:c r="I76" s="7" t="str">
        <x:v>Synthetic tenant A; verified actor with intended scope; relevant pack and connector test profile active; reset fixture before execution.</x:v>
      </x:c>
      <x:c r="J76" s="7" t="str">
        <x:v>1. Load FX-PROG-05. 2. Scheduling joins compatible tasks into a visit plan while preserving programme due dates and completion conditions. 3. Capture UI/API results and stored receipt or audit evidence.</x:v>
      </x:c>
      <x:c r="K76" s="7" t="str">
        <x:v>One visit completes eligible shared tasks, leaves incomplete activities open and does not duplicate a referral merely because two packs identify it.</x:v>
      </x:c>
      <x:c r="L76" s="10" t="str">
        <x:v>Not run</x:v>
      </x:c>
      <x:c r="M76" s="10" t="str">
        <x:v>QA with Programme owner</x:v>
      </x:c>
      <x:c r="N76" s="10" t="str"/>
      <x:c r="O76" s="10" t="str"/>
      <x:c r="P76" s="7" t="n">
        <x:f>IF(LEN(N76)&gt;0,1,0)</x:f>
        <x:v>0</x:v>
      </x:c>
    </x:row>
    <x:row r="77" ht="47.25" customHeight="1">
      <x:c r="A77" s="8" t="str">
        <x:v>TC-BR-PROG-05-B</x:v>
      </x:c>
      <x:c r="B77" s="8" t="str">
        <x:v>BR-PROG-05</x:v>
      </x:c>
      <x:c r="C77" s="8" t="str">
        <x:v>FR-PROG-05</x:v>
      </x:c>
      <x:c r="D77" s="8" t="str">
        <x:v>Cross-programme scheduling adverse condition</x:v>
      </x:c>
      <x:c r="E77" s="8" t="str">
        <x:v>Negative or recovery</x:v>
      </x:c>
      <x:c r="F77" s="8" t="str">
        <x:v>Must</x:v>
      </x:c>
      <x:c r="G77" s="8" t="str">
        <x:v>R1</x:v>
      </x:c>
      <x:c r="H77" s="8" t="str">
        <x:v>FX-PROG-05-NEG</x:v>
      </x:c>
      <x:c r="I77" s="8" t="str">
        <x:v>Isolated synthetic tenant; begin from the corresponding acceptance scenario; inject only the named adverse condition.</x:v>
      </x:c>
      <x:c r="J77" s="8" t="str">
        <x:v>1. Establish the normal precondition. 2. Combine two tasks with incompatible timing or privacy constraints; they must not be silently treated as one. 3. Inspect user state, side effects, audit and any recovery queue.</x:v>
      </x:c>
      <x:c r="K77" s="8" t="str">
        <x:v>Combine two tasks with incompatible timing or privacy constraints; they must not be silently treated as one. Evidence must show the actual final state and any accountable unresolved work.</x:v>
      </x:c>
      <x:c r="L77" s="10" t="str">
        <x:v>Not run</x:v>
      </x:c>
      <x:c r="M77" s="10" t="str">
        <x:v>QA with Programme owner</x:v>
      </x:c>
      <x:c r="N77" s="10" t="str"/>
      <x:c r="O77" s="10" t="str"/>
      <x:c r="P77" s="8" t="n">
        <x:f>IF(LEN(N77)&gt;0,1,0)</x:f>
        <x:v>0</x:v>
      </x:c>
    </x:row>
    <x:row r="78" ht="47.25" customHeight="1">
      <x:c r="A78" s="7" t="str">
        <x:v>TC-BR-PROG-06-A</x:v>
      </x:c>
      <x:c r="B78" s="7" t="str">
        <x:v>BR-PROG-06</x:v>
      </x:c>
      <x:c r="C78" s="7" t="str">
        <x:v>FR-PROG-06</x:v>
      </x:c>
      <x:c r="D78" s="7" t="str">
        <x:v>Eligibility and enrolment distinction acceptance</x:v>
      </x:c>
      <x:c r="E78" s="7" t="str">
        <x:v>Functional</x:v>
      </x:c>
      <x:c r="F78" s="7" t="str">
        <x:v>Must</x:v>
      </x:c>
      <x:c r="G78" s="7" t="str">
        <x:v>R1</x:v>
      </x:c>
      <x:c r="H78" s="7" t="str">
        <x:v>FX-PROG-06</x:v>
      </x:c>
      <x:c r="I78" s="7" t="str">
        <x:v>Synthetic tenant A; verified actor with intended scope; relevant pack and connector test profile active; reset fixture before execution.</x:v>
      </x:c>
      <x:c r="J78" s="7" t="str">
        <x:v>1. Load FX-PROG-06. 2. Enrolment stores eligibility_assessment and external_registration independently; only a verified receipt confirms the latter. 3. Capture UI/API results and stored receipt or audit evidence.</x:v>
      </x:c>
      <x:c r="K78" s="7" t="str">
        <x:v>A person whose external enrolment is rejected remains locally visible with a clear rejection reason and no false enrolled status.</x:v>
      </x:c>
      <x:c r="L78" s="10" t="str">
        <x:v>Not run</x:v>
      </x:c>
      <x:c r="M78" s="10" t="str">
        <x:v>QA with Programme owner</x:v>
      </x:c>
      <x:c r="N78" s="10" t="str"/>
      <x:c r="O78" s="10" t="str"/>
      <x:c r="P78" s="7" t="n">
        <x:f>IF(LEN(N78)&gt;0,1,0)</x:f>
        <x:v>0</x:v>
      </x:c>
    </x:row>
    <x:row r="79" ht="47.25" customHeight="1">
      <x:c r="A79" s="8" t="str">
        <x:v>TC-BR-PROG-06-B</x:v>
      </x:c>
      <x:c r="B79" s="8" t="str">
        <x:v>BR-PROG-06</x:v>
      </x:c>
      <x:c r="C79" s="8" t="str">
        <x:v>FR-PROG-06</x:v>
      </x:c>
      <x:c r="D79" s="8" t="str">
        <x:v>Eligibility and enrolment distinction adverse condition</x:v>
      </x:c>
      <x:c r="E79" s="8" t="str">
        <x:v>Negative or recovery</x:v>
      </x:c>
      <x:c r="F79" s="8" t="str">
        <x:v>Must</x:v>
      </x:c>
      <x:c r="G79" s="8" t="str">
        <x:v>R1</x:v>
      </x:c>
      <x:c r="H79" s="8" t="str">
        <x:v>FX-PROG-06-NEG</x:v>
      </x:c>
      <x:c r="I79" s="8" t="str">
        <x:v>Isolated synthetic tenant; begin from the corresponding acceptance scenario; inject only the named adverse condition.</x:v>
      </x:c>
      <x:c r="J79" s="8" t="str">
        <x:v>1. Establish the normal precondition. 2. Reject external enrolment; the local record remains visible as not externally enrolled. 3. Inspect user state, side effects, audit and any recovery queue.</x:v>
      </x:c>
      <x:c r="K79" s="8" t="str">
        <x:v>Reject external enrolment; the local record remains visible as not externally enrolled. Evidence must show the actual final state and any accountable unresolved work.</x:v>
      </x:c>
      <x:c r="L79" s="10" t="str">
        <x:v>Not run</x:v>
      </x:c>
      <x:c r="M79" s="10" t="str">
        <x:v>QA with Programme owner</x:v>
      </x:c>
      <x:c r="N79" s="10" t="str"/>
      <x:c r="O79" s="10" t="str"/>
      <x:c r="P79" s="8" t="n">
        <x:f>IF(LEN(N79)&gt;0,1,0)</x:f>
        <x:v>0</x:v>
      </x:c>
    </x:row>
    <x:row r="80" ht="47.25" customHeight="1">
      <x:c r="A80" s="7" t="str">
        <x:v>TC-BR-PROG-07-A</x:v>
      </x:c>
      <x:c r="B80" s="7" t="str">
        <x:v>BR-PROG-07</x:v>
      </x:c>
      <x:c r="C80" s="7" t="str">
        <x:v>FR-PROG-07</x:v>
      </x:c>
      <x:c r="D80" s="7" t="str">
        <x:v>Protocol change and case continuity acceptance</x:v>
      </x:c>
      <x:c r="E80" s="7" t="str">
        <x:v>Functional</x:v>
      </x:c>
      <x:c r="F80" s="7" t="str">
        <x:v>Must</x:v>
      </x:c>
      <x:c r="G80" s="7" t="str">
        <x:v>R1</x:v>
      </x:c>
      <x:c r="H80" s="7" t="str">
        <x:v>FX-PROG-07</x:v>
      </x:c>
      <x:c r="I80" s="7" t="str">
        <x:v>Synthetic tenant A; verified actor with intended scope; relevant pack and connector test profile active; reset fixture before execution.</x:v>
      </x:c>
      <x:c r="J80" s="7" t="str">
        <x:v>1. Load FX-PROG-07. 2. Pack migration computes affected open cases and applies an approved transition plan at an effective timestamp. 3. Capture UI/API results and stored receipt or audit evidence.</x:v>
      </x:c>
      <x:c r="K80" s="7" t="str">
        <x:v>Updating a referral rule identifies affected open work and requires reviewed migration rather than silently rewriting past decisions.</x:v>
      </x:c>
      <x:c r="L80" s="10" t="str">
        <x:v>Not run</x:v>
      </x:c>
      <x:c r="M80" s="10" t="str">
        <x:v>QA with Programme owner</x:v>
      </x:c>
      <x:c r="N80" s="10" t="str"/>
      <x:c r="O80" s="10" t="str"/>
      <x:c r="P80" s="7" t="n">
        <x:f>IF(LEN(N80)&gt;0,1,0)</x:f>
        <x:v>0</x:v>
      </x:c>
    </x:row>
    <x:row r="81" ht="47.25" customHeight="1">
      <x:c r="A81" s="8" t="str">
        <x:v>TC-BR-PROG-07-B</x:v>
      </x:c>
      <x:c r="B81" s="8" t="str">
        <x:v>BR-PROG-07</x:v>
      </x:c>
      <x:c r="C81" s="8" t="str">
        <x:v>FR-PROG-07</x:v>
      </x:c>
      <x:c r="D81" s="8" t="str">
        <x:v>Protocol change and case continuity adverse condition</x:v>
      </x:c>
      <x:c r="E81" s="8" t="str">
        <x:v>Negative or recovery</x:v>
      </x:c>
      <x:c r="F81" s="8" t="str">
        <x:v>Must</x:v>
      </x:c>
      <x:c r="G81" s="8" t="str">
        <x:v>R1</x:v>
      </x:c>
      <x:c r="H81" s="8" t="str">
        <x:v>FX-PROG-07-NEG</x:v>
      </x:c>
      <x:c r="I81" s="8" t="str">
        <x:v>Isolated synthetic tenant; begin from the corresponding acceptance scenario; inject only the named adverse condition.</x:v>
      </x:c>
      <x:c r="J81" s="8" t="str">
        <x:v>1. Establish the normal precondition. 2. Load a new rule version during an open visit; do not silently reinterpret already approved actions. 3. Inspect user state, side effects, audit and any recovery queue.</x:v>
      </x:c>
      <x:c r="K81" s="8" t="str">
        <x:v>Load a new rule version during an open visit; do not silently reinterpret already approved actions. Evidence must show the actual final state and any accountable unresolved work.</x:v>
      </x:c>
      <x:c r="L81" s="10" t="str">
        <x:v>Not run</x:v>
      </x:c>
      <x:c r="M81" s="10" t="str">
        <x:v>QA with Programme owner</x:v>
      </x:c>
      <x:c r="N81" s="10" t="str"/>
      <x:c r="O81" s="10" t="str"/>
      <x:c r="P81" s="8" t="n">
        <x:f>IF(LEN(N81)&gt;0,1,0)</x:f>
        <x:v>0</x:v>
      </x:c>
    </x:row>
    <x:row r="82" ht="47.25" customHeight="1">
      <x:c r="A82" s="7" t="str">
        <x:v>TC-BR-PROG-08-A</x:v>
      </x:c>
      <x:c r="B82" s="7" t="str">
        <x:v>BR-PROG-08</x:v>
      </x:c>
      <x:c r="C82" s="7" t="str">
        <x:v>FR-PROG-08</x:v>
      </x:c>
      <x:c r="D82" s="7" t="str">
        <x:v>Additional programme packs acceptance</x:v>
      </x:c>
      <x:c r="E82" s="7" t="str">
        <x:v>Functional</x:v>
      </x:c>
      <x:c r="F82" s="7" t="str">
        <x:v>Should</x:v>
      </x:c>
      <x:c r="G82" s="7" t="str">
        <x:v>R2</x:v>
      </x:c>
      <x:c r="H82" s="7" t="str">
        <x:v>FX-PROG-08</x:v>
      </x:c>
      <x:c r="I82" s="7" t="str">
        <x:v>Synthetic tenant A; verified actor with intended scope; relevant pack and connector test profile active; reset fixture before execution.</x:v>
      </x:c>
      <x:c r="J82" s="7" t="str">
        <x:v>1. Load FX-PROG-08. 2. Additional packs use the same schema with their own definitions and reviewed value sets; pack IDs remain stable across versions. 3. Capture UI/API results and stored receipt or audit evidence.</x:v>
      </x:c>
      <x:c r="K82" s="7" t="str">
        <x:v>A new pack can reuse common identity and observations while defining independent schedules, role boundaries and destination rules.</x:v>
      </x:c>
      <x:c r="L82" s="10" t="str">
        <x:v>Not run</x:v>
      </x:c>
      <x:c r="M82" s="10" t="str">
        <x:v>QA with Programme owner</x:v>
      </x:c>
      <x:c r="N82" s="10" t="str"/>
      <x:c r="O82" s="10" t="str"/>
      <x:c r="P82" s="7" t="n">
        <x:f>IF(LEN(N82)&gt;0,1,0)</x:f>
        <x:v>0</x:v>
      </x:c>
    </x:row>
    <x:row r="83" ht="47.25" customHeight="1">
      <x:c r="A83" s="8" t="str">
        <x:v>TC-BR-PROG-08-B</x:v>
      </x:c>
      <x:c r="B83" s="8" t="str">
        <x:v>BR-PROG-08</x:v>
      </x:c>
      <x:c r="C83" s="8" t="str">
        <x:v>FR-PROG-08</x:v>
      </x:c>
      <x:c r="D83" s="8" t="str">
        <x:v>Additional programme packs adverse condition</x:v>
      </x:c>
      <x:c r="E83" s="8" t="str">
        <x:v>Negative or recovery</x:v>
      </x:c>
      <x:c r="F83" s="8" t="str">
        <x:v>Should</x:v>
      </x:c>
      <x:c r="G83" s="8" t="str">
        <x:v>R2</x:v>
      </x:c>
      <x:c r="H83" s="8" t="str">
        <x:v>FX-PROG-08-NEG</x:v>
      </x:c>
      <x:c r="I83" s="8" t="str">
        <x:v>Isolated synthetic tenant; begin from the corresponding acceptance scenario; inject only the named adverse condition.</x:v>
      </x:c>
      <x:c r="J83" s="8" t="str">
        <x:v>1. Establish the normal precondition. 2. Install a new pack with a conflicting concept definition; validation requires explicit separation or reviewed mapping. 3. Inspect user state, side effects, audit and any recovery queue.</x:v>
      </x:c>
      <x:c r="K83" s="8" t="str">
        <x:v>Install a new pack with a conflicting concept definition; validation requires explicit separation or reviewed mapping. Evidence must show the actual final state and any accountable unresolved work.</x:v>
      </x:c>
      <x:c r="L83" s="10" t="str">
        <x:v>Not run</x:v>
      </x:c>
      <x:c r="M83" s="10" t="str">
        <x:v>QA with Programme owner</x:v>
      </x:c>
      <x:c r="N83" s="10" t="str"/>
      <x:c r="O83" s="10" t="str"/>
      <x:c r="P83" s="8" t="n">
        <x:f>IF(LEN(N83)&gt;0,1,0)</x:f>
        <x:v>0</x:v>
      </x:c>
    </x:row>
    <x:row r="84" ht="47.25" customHeight="1">
      <x:c r="A84" s="7" t="str">
        <x:v>TC-BR-AG-01-A</x:v>
      </x:c>
      <x:c r="B84" s="7" t="str">
        <x:v>BR-AG-01</x:v>
      </x:c>
      <x:c r="C84" s="7" t="str">
        <x:v>FR-AG-01</x:v>
      </x:c>
      <x:c r="D84" s="7" t="str">
        <x:v>Bounded task planning acceptance</x:v>
      </x:c>
      <x:c r="E84" s="7" t="str">
        <x:v>Functional</x:v>
      </x:c>
      <x:c r="F84" s="7" t="str">
        <x:v>Must</x:v>
      </x:c>
      <x:c r="G84" s="7" t="str">
        <x:v>R1</x:v>
      </x:c>
      <x:c r="H84" s="7" t="str">
        <x:v>FX-AG-01</x:v>
      </x:c>
      <x:c r="I84" s="7" t="str">
        <x:v>Synthetic tenant A; verified actor with intended scope; relevant pack and connector test profile active; reset fixture before execution.</x:v>
      </x:c>
      <x:c r="J84" s="7" t="str">
        <x:v>1. Load FX-AG-01. 2. Plan nodes are typed tool calls with dependencies, limits and authority class. Free text cannot create a new action type. 3. Capture UI/API results and stored receipt or audit evidence.</x:v>
      </x:c>
      <x:c r="K84" s="7" t="str">
        <x:v>An out-of-scope request receives a clear limitation or referral to the correct role and does not trigger an improvised external action.</x:v>
      </x:c>
      <x:c r="L84" s="10" t="str">
        <x:v>Not run</x:v>
      </x:c>
      <x:c r="M84" s="10" t="str">
        <x:v>QA with Worker or clinician within active scope</x:v>
      </x:c>
      <x:c r="N84" s="10" t="str"/>
      <x:c r="O84" s="10" t="str"/>
      <x:c r="P84" s="7" t="n">
        <x:f>IF(LEN(N84)&gt;0,1,0)</x:f>
        <x:v>0</x:v>
      </x:c>
    </x:row>
    <x:row r="85" ht="47.25" customHeight="1">
      <x:c r="A85" s="8" t="str">
        <x:v>TC-BR-AG-01-B</x:v>
      </x:c>
      <x:c r="B85" s="8" t="str">
        <x:v>BR-AG-01</x:v>
      </x:c>
      <x:c r="C85" s="8" t="str">
        <x:v>FR-AG-01</x:v>
      </x:c>
      <x:c r="D85" s="8" t="str">
        <x:v>Bounded task planning adverse condition</x:v>
      </x:c>
      <x:c r="E85" s="8" t="str">
        <x:v>Negative or recovery</x:v>
      </x:c>
      <x:c r="F85" s="8" t="str">
        <x:v>Must</x:v>
      </x:c>
      <x:c r="G85" s="8" t="str">
        <x:v>R1</x:v>
      </x:c>
      <x:c r="H85" s="8" t="str">
        <x:v>FX-AG-01-NEG</x:v>
      </x:c>
      <x:c r="I85" s="8" t="str">
        <x:v>Isolated synthetic tenant; begin from the corresponding acceptance scenario; inject only the named adverse condition.</x:v>
      </x:c>
      <x:c r="J85" s="8" t="str">
        <x:v>1. Establish the normal precondition. 2. Ask the agent to pay benefits or issue an out-of-scope prescription; no tool action is created. 3. Inspect user state, side effects, audit and any recovery queue.</x:v>
      </x:c>
      <x:c r="K85" s="8" t="str">
        <x:v>Ask the agent to pay benefits or issue an out-of-scope prescription; no tool action is created. Evidence must show the actual final state and any accountable unresolved work.</x:v>
      </x:c>
      <x:c r="L85" s="10" t="str">
        <x:v>Not run</x:v>
      </x:c>
      <x:c r="M85" s="10" t="str">
        <x:v>QA with Worker or clinician within active scope</x:v>
      </x:c>
      <x:c r="N85" s="10" t="str"/>
      <x:c r="O85" s="10" t="str"/>
      <x:c r="P85" s="8" t="n">
        <x:f>IF(LEN(N85)&gt;0,1,0)</x:f>
        <x:v>0</x:v>
      </x:c>
    </x:row>
    <x:row r="86" ht="47.25" customHeight="1">
      <x:c r="A86" s="7" t="str">
        <x:v>TC-BR-AG-02-A</x:v>
      </x:c>
      <x:c r="B86" s="7" t="str">
        <x:v>BR-AG-02</x:v>
      </x:c>
      <x:c r="C86" s="7" t="str">
        <x:v>FR-AG-02</x:v>
      </x:c>
      <x:c r="D86" s="7" t="str">
        <x:v>Context restricted to the task acceptance</x:v>
      </x:c>
      <x:c r="E86" s="7" t="str">
        <x:v>Functional</x:v>
      </x:c>
      <x:c r="F86" s="7" t="str">
        <x:v>Must</x:v>
      </x:c>
      <x:c r="G86" s="7" t="str">
        <x:v>R1</x:v>
      </x:c>
      <x:c r="H86" s="7" t="str">
        <x:v>FX-AG-02</x:v>
      </x:c>
      <x:c r="I86" s="7" t="str">
        <x:v>Synthetic tenant A; verified actor with intended scope; relevant pack and connector test profile active; reset fixture before execution.</x:v>
      </x:c>
      <x:c r="J86" s="7" t="str">
        <x:v>1. Load FX-AG-02. 2. Retrieve only authorised fields referenced by the current task; cache keys include tenant, person, purpose and policy version. 3. Capture UI/API results and stored receipt or audit evidence.</x:v>
      </x:c>
      <x:c r="K86" s="7" t="str">
        <x:v>A cross-patient prompt cannot retrieve another person's information without a separately authorised task and permission check.</x:v>
      </x:c>
      <x:c r="L86" s="10" t="str">
        <x:v>Not run</x:v>
      </x:c>
      <x:c r="M86" s="10" t="str">
        <x:v>QA with Worker or clinician within active scope</x:v>
      </x:c>
      <x:c r="N86" s="10" t="str"/>
      <x:c r="O86" s="10" t="str"/>
      <x:c r="P86" s="7" t="n">
        <x:f>IF(LEN(N86)&gt;0,1,0)</x:f>
        <x:v>0</x:v>
      </x:c>
    </x:row>
    <x:row r="87" ht="47.25" customHeight="1">
      <x:c r="A87" s="8" t="str">
        <x:v>TC-BR-AG-02-B</x:v>
      </x:c>
      <x:c r="B87" s="8" t="str">
        <x:v>BR-AG-02</x:v>
      </x:c>
      <x:c r="C87" s="8" t="str">
        <x:v>FR-AG-02</x:v>
      </x:c>
      <x:c r="D87" s="8" t="str">
        <x:v>Context restricted to the task adverse condition</x:v>
      </x:c>
      <x:c r="E87" s="8" t="str">
        <x:v>Negative or recovery</x:v>
      </x:c>
      <x:c r="F87" s="8" t="str">
        <x:v>Must</x:v>
      </x:c>
      <x:c r="G87" s="8" t="str">
        <x:v>R1</x:v>
      </x:c>
      <x:c r="H87" s="8" t="str">
        <x:v>FX-AG-02-NEG</x:v>
      </x:c>
      <x:c r="I87" s="8" t="str">
        <x:v>Isolated synthetic tenant; begin from the corresponding acceptance scenario; inject only the named adverse condition.</x:v>
      </x:c>
      <x:c r="J87" s="8" t="str">
        <x:v>1. Establish the normal precondition. 2. Inject another patient ID through a prompt; retrieval is denied before a model receives content. 3. Inspect user state, side effects, audit and any recovery queue.</x:v>
      </x:c>
      <x:c r="K87" s="8" t="str">
        <x:v>Inject another patient ID through a prompt; retrieval is denied before a model receives content. Evidence must show the actual final state and any accountable unresolved work.</x:v>
      </x:c>
      <x:c r="L87" s="10" t="str">
        <x:v>Not run</x:v>
      </x:c>
      <x:c r="M87" s="10" t="str">
        <x:v>QA with Worker or clinician within active scope</x:v>
      </x:c>
      <x:c r="N87" s="10" t="str"/>
      <x:c r="O87" s="10" t="str"/>
      <x:c r="P87" s="8" t="n">
        <x:f>IF(LEN(N87)&gt;0,1,0)</x:f>
        <x:v>0</x:v>
      </x:c>
    </x:row>
    <x:row r="88" ht="47.25" customHeight="1">
      <x:c r="A88" s="7" t="str">
        <x:v>TC-BR-AG-03-A</x:v>
      </x:c>
      <x:c r="B88" s="7" t="str">
        <x:v>BR-AG-03</x:v>
      </x:c>
      <x:c r="C88" s="7" t="str">
        <x:v>FR-AG-03</x:v>
      </x:c>
      <x:c r="D88" s="7" t="str">
        <x:v>Eligibility before tool selection acceptance</x:v>
      </x:c>
      <x:c r="E88" s="7" t="str">
        <x:v>Functional</x:v>
      </x:c>
      <x:c r="F88" s="7" t="str">
        <x:v>Must</x:v>
      </x:c>
      <x:c r="G88" s="7" t="str">
        <x:v>R1</x:v>
      </x:c>
      <x:c r="H88" s="7" t="str">
        <x:v>FX-AG-03</x:v>
      </x:c>
      <x:c r="I88" s="7" t="str">
        <x:v>Synthetic tenant A; verified actor with intended scope; relevant pack and connector test profile active; reset fixture before execution.</x:v>
      </x:c>
      <x:c r="J88" s="7" t="str">
        <x:v>1. Load FX-AG-03. 2. The eligibility filter precedes cost or latency ranking and records excluded tools with machine-readable reasons. 3. Capture UI/API results and stored receipt or audit evidence.</x:v>
      </x:c>
      <x:c r="K88" s="7" t="str">
        <x:v>A cheaper or available tool with an incompatible approved use is never substituted into the workflow.</x:v>
      </x:c>
      <x:c r="L88" s="10" t="str">
        <x:v>Not run</x:v>
      </x:c>
      <x:c r="M88" s="10" t="str">
        <x:v>QA with Worker or clinician within active scope</x:v>
      </x:c>
      <x:c r="N88" s="10" t="str"/>
      <x:c r="O88" s="10" t="str"/>
      <x:c r="P88" s="7" t="n">
        <x:f>IF(LEN(N88)&gt;0,1,0)</x:f>
        <x:v>0</x:v>
      </x:c>
    </x:row>
    <x:row r="89" ht="47.25" customHeight="1">
      <x:c r="A89" s="8" t="str">
        <x:v>TC-BR-AG-03-B</x:v>
      </x:c>
      <x:c r="B89" s="8" t="str">
        <x:v>BR-AG-03</x:v>
      </x:c>
      <x:c r="C89" s="8" t="str">
        <x:v>FR-AG-03</x:v>
      </x:c>
      <x:c r="D89" s="8" t="str">
        <x:v>Eligibility before tool selection adverse condition</x:v>
      </x:c>
      <x:c r="E89" s="8" t="str">
        <x:v>Negative or recovery</x:v>
      </x:c>
      <x:c r="F89" s="8" t="str">
        <x:v>Must</x:v>
      </x:c>
      <x:c r="G89" s="8" t="str">
        <x:v>R1</x:v>
      </x:c>
      <x:c r="H89" s="8" t="str">
        <x:v>FX-AG-03-NEG</x:v>
      </x:c>
      <x:c r="I89" s="8" t="str">
        <x:v>Isolated synthetic tenant; begin from the corresponding acceptance scenario; inject only the named adverse condition.</x:v>
      </x:c>
      <x:c r="J89" s="8" t="str">
        <x:v>1. Establish the normal precondition. 2. Choose a cheaper model outside its approved age or language scope; the router must exclude it. 3. Inspect user state, side effects, audit and any recovery queue.</x:v>
      </x:c>
      <x:c r="K89" s="8" t="str">
        <x:v>Choose a cheaper model outside its approved age or language scope; the router must exclude it. Evidence must show the actual final state and any accountable unresolved work.</x:v>
      </x:c>
      <x:c r="L89" s="10" t="str">
        <x:v>Not run</x:v>
      </x:c>
      <x:c r="M89" s="10" t="str">
        <x:v>QA with Worker or clinician within active scope</x:v>
      </x:c>
      <x:c r="N89" s="10" t="str"/>
      <x:c r="O89" s="10" t="str"/>
      <x:c r="P89" s="8" t="n">
        <x:f>IF(LEN(N89)&gt;0,1,0)</x:f>
        <x:v>0</x:v>
      </x:c>
    </x:row>
    <x:row r="90" ht="47.25" customHeight="1">
      <x:c r="A90" s="7" t="str">
        <x:v>TC-BR-AG-04-A</x:v>
      </x:c>
      <x:c r="B90" s="7" t="str">
        <x:v>BR-AG-04</x:v>
      </x:c>
      <x:c r="C90" s="7" t="str">
        <x:v>FR-AG-04</x:v>
      </x:c>
      <x:c r="D90" s="7" t="str">
        <x:v>Approved execution paths acceptance</x:v>
      </x:c>
      <x:c r="E90" s="7" t="str">
        <x:v>Functional</x:v>
      </x:c>
      <x:c r="F90" s="7" t="str">
        <x:v>Must</x:v>
      </x:c>
      <x:c r="G90" s="7" t="str">
        <x:v>R1</x:v>
      </x:c>
      <x:c r="H90" s="7" t="str">
        <x:v>FX-AG-04</x:v>
      </x:c>
      <x:c r="I90" s="7" t="str">
        <x:v>Synthetic tenant A; verified actor with intended scope; relevant pack and connector test profile active; reset fixture before execution.</x:v>
      </x:c>
      <x:c r="J90" s="7" t="str">
        <x:v>1. Load FX-AG-04. 2. Tool arguments validate against closed schemas; executable action names are resolved only from the trusted registry. 3. Capture UI/API results and stored receipt or audit evidence.</x:v>
      </x:c>
      <x:c r="K90" s="7" t="str">
        <x:v>Instructions embedded in a patient note or provider output cannot activate a new tool, reveal credentials or bypass a confirmation.</x:v>
      </x:c>
      <x:c r="L90" s="10" t="str">
        <x:v>Not run</x:v>
      </x:c>
      <x:c r="M90" s="10" t="str">
        <x:v>QA with Worker or clinician within active scope</x:v>
      </x:c>
      <x:c r="N90" s="10" t="str"/>
      <x:c r="O90" s="10" t="str"/>
      <x:c r="P90" s="7" t="n">
        <x:f>IF(LEN(N90)&gt;0,1,0)</x:f>
        <x:v>0</x:v>
      </x:c>
    </x:row>
    <x:row r="91" ht="47.25" customHeight="1">
      <x:c r="A91" s="8" t="str">
        <x:v>TC-BR-AG-04-B</x:v>
      </x:c>
      <x:c r="B91" s="8" t="str">
        <x:v>BR-AG-04</x:v>
      </x:c>
      <x:c r="C91" s="8" t="str">
        <x:v>FR-AG-04</x:v>
      </x:c>
      <x:c r="D91" s="8" t="str">
        <x:v>Approved execution paths adverse condition</x:v>
      </x:c>
      <x:c r="E91" s="8" t="str">
        <x:v>Negative or recovery</x:v>
      </x:c>
      <x:c r="F91" s="8" t="str">
        <x:v>Must</x:v>
      </x:c>
      <x:c r="G91" s="8" t="str">
        <x:v>R1</x:v>
      </x:c>
      <x:c r="H91" s="8" t="str">
        <x:v>FX-AG-04-NEG</x:v>
      </x:c>
      <x:c r="I91" s="8" t="str">
        <x:v>Isolated synthetic tenant; begin from the corresponding acceptance scenario; inject only the named adverse condition.</x:v>
      </x:c>
      <x:c r="J91" s="8" t="str">
        <x:v>1. Establish the normal precondition. 2. Embed a tool instruction inside an EHR note; it cannot alter the tool catalogue or permissions. 3. Inspect user state, side effects, audit and any recovery queue.</x:v>
      </x:c>
      <x:c r="K91" s="8" t="str">
        <x:v>Embed a tool instruction inside an EHR note; it cannot alter the tool catalogue or permissions. Evidence must show the actual final state and any accountable unresolved work.</x:v>
      </x:c>
      <x:c r="L91" s="10" t="str">
        <x:v>Not run</x:v>
      </x:c>
      <x:c r="M91" s="10" t="str">
        <x:v>QA with Worker or clinician within active scope</x:v>
      </x:c>
      <x:c r="N91" s="10" t="str"/>
      <x:c r="O91" s="10" t="str"/>
      <x:c r="P91" s="8" t="n">
        <x:f>IF(LEN(N91)&gt;0,1,0)</x:f>
        <x:v>0</x:v>
      </x:c>
    </x:row>
    <x:row r="92" ht="47.25" customHeight="1">
      <x:c r="A92" s="7" t="str">
        <x:v>TC-BR-AG-05-A</x:v>
      </x:c>
      <x:c r="B92" s="7" t="str">
        <x:v>BR-AG-05</x:v>
      </x:c>
      <x:c r="C92" s="7" t="str">
        <x:v>FR-AG-05</x:v>
      </x:c>
      <x:c r="D92" s="7" t="str">
        <x:v>Human authority at action boundaries acceptance</x:v>
      </x:c>
      <x:c r="E92" s="7" t="str">
        <x:v>Functional</x:v>
      </x:c>
      <x:c r="F92" s="7" t="str">
        <x:v>Must</x:v>
      </x:c>
      <x:c r="G92" s="7" t="str">
        <x:v>R1</x:v>
      </x:c>
      <x:c r="H92" s="7" t="str">
        <x:v>FX-AG-05</x:v>
      </x:c>
      <x:c r="I92" s="7" t="str">
        <x:v>Synthetic tenant A; verified actor with intended scope; relevant pack and connector test profile active; reset fixture before execution.</x:v>
      </x:c>
      <x:c r="J92" s="7" t="str">
        <x:v>1. Load FX-AG-05. 2. Approval hashes bind actor, resource versions, action, recipient, purpose and capability versions; the executor checks them. 3. Capture UI/API results and stored receipt or audit evidence.</x:v>
      </x:c>
      <x:c r="K92" s="7" t="str">
        <x:v>The agent cannot make itself the approving actor, and expired approvals cannot be reused for changed data or a different destination.</x:v>
      </x:c>
      <x:c r="L92" s="10" t="str">
        <x:v>Not run</x:v>
      </x:c>
      <x:c r="M92" s="10" t="str">
        <x:v>QA with Worker or clinician within active scope</x:v>
      </x:c>
      <x:c r="N92" s="10" t="str"/>
      <x:c r="O92" s="10" t="str"/>
      <x:c r="P92" s="7" t="n">
        <x:f>IF(LEN(N92)&gt;0,1,0)</x:f>
        <x:v>0</x:v>
      </x:c>
    </x:row>
    <x:row r="93" ht="47.25" customHeight="1">
      <x:c r="A93" s="8" t="str">
        <x:v>TC-BR-AG-05-B</x:v>
      </x:c>
      <x:c r="B93" s="8" t="str">
        <x:v>BR-AG-05</x:v>
      </x:c>
      <x:c r="C93" s="8" t="str">
        <x:v>FR-AG-05</x:v>
      </x:c>
      <x:c r="D93" s="8" t="str">
        <x:v>Human authority at action boundaries adverse condition</x:v>
      </x:c>
      <x:c r="E93" s="8" t="str">
        <x:v>Negative or recovery</x:v>
      </x:c>
      <x:c r="F93" s="8" t="str">
        <x:v>Must</x:v>
      </x:c>
      <x:c r="G93" s="8" t="str">
        <x:v>R1</x:v>
      </x:c>
      <x:c r="H93" s="8" t="str">
        <x:v>FX-AG-05-NEG</x:v>
      </x:c>
      <x:c r="I93" s="8" t="str">
        <x:v>Isolated synthetic tenant; begin from the corresponding acceptance scenario; inject only the named adverse condition.</x:v>
      </x:c>
      <x:c r="J93" s="8" t="str">
        <x:v>1. Establish the normal precondition. 2. Replay an approval after changing a clinical fact; reject as stale. 3. Inspect user state, side effects, audit and any recovery queue.</x:v>
      </x:c>
      <x:c r="K93" s="8" t="str">
        <x:v>Replay an approval after changing a clinical fact; reject as stale. Evidence must show the actual final state and any accountable unresolved work.</x:v>
      </x:c>
      <x:c r="L93" s="10" t="str">
        <x:v>Not run</x:v>
      </x:c>
      <x:c r="M93" s="10" t="str">
        <x:v>QA with Worker or clinician within active scope</x:v>
      </x:c>
      <x:c r="N93" s="10" t="str"/>
      <x:c r="O93" s="10" t="str"/>
      <x:c r="P93" s="8" t="n">
        <x:f>IF(LEN(N93)&gt;0,1,0)</x:f>
        <x:v>0</x:v>
      </x:c>
    </x:row>
    <x:row r="94" ht="47.25" customHeight="1">
      <x:c r="A94" s="7" t="str">
        <x:v>TC-BR-AG-06-A</x:v>
      </x:c>
      <x:c r="B94" s="7" t="str">
        <x:v>BR-AG-06</x:v>
      </x:c>
      <x:c r="C94" s="7" t="str">
        <x:v>FR-AG-06</x:v>
      </x:c>
      <x:c r="D94" s="7" t="str">
        <x:v>Durable progress and recovery acceptance</x:v>
      </x:c>
      <x:c r="E94" s="7" t="str">
        <x:v>Functional</x:v>
      </x:c>
      <x:c r="F94" s="7" t="str">
        <x:v>Must</x:v>
      </x:c>
      <x:c r="G94" s="7" t="str">
        <x:v>R1</x:v>
      </x:c>
      <x:c r="H94" s="7" t="str">
        <x:v>FX-AG-06</x:v>
      </x:c>
      <x:c r="I94" s="7" t="str">
        <x:v>Synthetic tenant A; verified actor with intended scope; relevant pack and connector test profile active; reset fixture before execution.</x:v>
      </x:c>
      <x:c r="J94" s="7" t="str">
        <x:v>1. Load FX-AG-06. 2. Persist a checkpoint and action identity for each step. Resume reads receipts before selecting pending steps. 3. Capture UI/API results and stored receipt or audit evidence.</x:v>
      </x:c>
      <x:c r="K94" s="7" t="str">
        <x:v>A failure after one destination accepts a record does not repeat that submission; the user sees and can recover only unfinished steps.</x:v>
      </x:c>
      <x:c r="L94" s="10" t="str">
        <x:v>Not run</x:v>
      </x:c>
      <x:c r="M94" s="10" t="str">
        <x:v>QA with Worker or clinician within active scope</x:v>
      </x:c>
      <x:c r="N94" s="10" t="str"/>
      <x:c r="O94" s="10" t="str"/>
      <x:c r="P94" s="7" t="n">
        <x:f>IF(LEN(N94)&gt;0,1,0)</x:f>
        <x:v>0</x:v>
      </x:c>
    </x:row>
    <x:row r="95" ht="47.25" customHeight="1">
      <x:c r="A95" s="8" t="str">
        <x:v>TC-BR-AG-06-B</x:v>
      </x:c>
      <x:c r="B95" s="8" t="str">
        <x:v>BR-AG-06</x:v>
      </x:c>
      <x:c r="C95" s="8" t="str">
        <x:v>FR-AG-06</x:v>
      </x:c>
      <x:c r="D95" s="8" t="str">
        <x:v>Durable progress and recovery adverse condition</x:v>
      </x:c>
      <x:c r="E95" s="8" t="str">
        <x:v>Negative or recovery</x:v>
      </x:c>
      <x:c r="F95" s="8" t="str">
        <x:v>Must</x:v>
      </x:c>
      <x:c r="G95" s="8" t="str">
        <x:v>R1</x:v>
      </x:c>
      <x:c r="H95" s="8" t="str">
        <x:v>FX-AG-06-NEG</x:v>
      </x:c>
      <x:c r="I95" s="8" t="str">
        <x:v>Isolated synthetic tenant; begin from the corresponding acceptance scenario; inject only the named adverse condition.</x:v>
      </x:c>
      <x:c r="J95" s="8" t="str">
        <x:v>1. Establish the normal precondition. 2. Crash after destination acceptance but before UI update; recovery must reconcile rather than submit twice. 3. Inspect user state, side effects, audit and any recovery queue.</x:v>
      </x:c>
      <x:c r="K95" s="8" t="str">
        <x:v>Crash after destination acceptance but before UI update; recovery must reconcile rather than submit twice. Evidence must show the actual final state and any accountable unresolved work.</x:v>
      </x:c>
      <x:c r="L95" s="10" t="str">
        <x:v>Not run</x:v>
      </x:c>
      <x:c r="M95" s="10" t="str">
        <x:v>QA with Worker or clinician within active scope</x:v>
      </x:c>
      <x:c r="N95" s="10" t="str"/>
      <x:c r="O95" s="10" t="str"/>
      <x:c r="P95" s="8" t="n">
        <x:f>IF(LEN(N95)&gt;0,1,0)</x:f>
        <x:v>0</x:v>
      </x:c>
    </x:row>
    <x:row r="96" ht="47.25" customHeight="1">
      <x:c r="A96" s="7" t="str">
        <x:v>TC-BR-AG-07-A</x:v>
      </x:c>
      <x:c r="B96" s="7" t="str">
        <x:v>BR-AG-07</x:v>
      </x:c>
      <x:c r="C96" s="7" t="str">
        <x:v>FR-AG-07</x:v>
      </x:c>
      <x:c r="D96" s="7" t="str">
        <x:v>Limits and cancellation acceptance</x:v>
      </x:c>
      <x:c r="E96" s="7" t="str">
        <x:v>Functional</x:v>
      </x:c>
      <x:c r="F96" s="7" t="str">
        <x:v>Must</x:v>
      </x:c>
      <x:c r="G96" s="7" t="str">
        <x:v>R1</x:v>
      </x:c>
      <x:c r="H96" s="7" t="str">
        <x:v>FX-AG-07</x:v>
      </x:c>
      <x:c r="I96" s="7" t="str">
        <x:v>Synthetic tenant A; verified actor with intended scope; relevant pack and connector test profile active; reset fixture before execution.</x:v>
      </x:c>
      <x:c r="J96" s="7" t="str">
        <x:v>1. Load FX-AG-07. 2. Enforce max_steps, deadline and budget in the executor independently of model output; cancellation records residual work. 3. Capture UI/API results and stored receipt or audit evidence.</x:v>
      </x:c>
      <x:c r="K96" s="7" t="str">
        <x:v>A looping provider interaction stops at the configured limit and reports which actions completed, were cancelled or remain unresolved.</x:v>
      </x:c>
      <x:c r="L96" s="10" t="str">
        <x:v>Not run</x:v>
      </x:c>
      <x:c r="M96" s="10" t="str">
        <x:v>QA with Worker or clinician within active scope</x:v>
      </x:c>
      <x:c r="N96" s="10" t="str"/>
      <x:c r="O96" s="10" t="str"/>
      <x:c r="P96" s="7" t="n">
        <x:f>IF(LEN(N96)&gt;0,1,0)</x:f>
        <x:v>0</x:v>
      </x:c>
    </x:row>
    <x:row r="97" ht="47.25" customHeight="1">
      <x:c r="A97" s="8" t="str">
        <x:v>TC-BR-AG-07-B</x:v>
      </x:c>
      <x:c r="B97" s="8" t="str">
        <x:v>BR-AG-07</x:v>
      </x:c>
      <x:c r="C97" s="8" t="str">
        <x:v>FR-AG-07</x:v>
      </x:c>
      <x:c r="D97" s="8" t="str">
        <x:v>Limits and cancellation adverse condition</x:v>
      </x:c>
      <x:c r="E97" s="8" t="str">
        <x:v>Negative or recovery</x:v>
      </x:c>
      <x:c r="F97" s="8" t="str">
        <x:v>Must</x:v>
      </x:c>
      <x:c r="G97" s="8" t="str">
        <x:v>R1</x:v>
      </x:c>
      <x:c r="H97" s="8" t="str">
        <x:v>FX-AG-07-NEG</x:v>
      </x:c>
      <x:c r="I97" s="8" t="str">
        <x:v>Isolated synthetic tenant; begin from the corresponding acceptance scenario; inject only the named adverse condition.</x:v>
      </x:c>
      <x:c r="J97" s="8" t="str">
        <x:v>1. Establish the normal precondition. 2. Force a recursive tool loop; stop at the configured bound with a visible incomplete state. 3. Inspect user state, side effects, audit and any recovery queue.</x:v>
      </x:c>
      <x:c r="K97" s="8" t="str">
        <x:v>Force a recursive tool loop; stop at the configured bound with a visible incomplete state. Evidence must show the actual final state and any accountable unresolved work.</x:v>
      </x:c>
      <x:c r="L97" s="10" t="str">
        <x:v>Not run</x:v>
      </x:c>
      <x:c r="M97" s="10" t="str">
        <x:v>QA with Worker or clinician within active scope</x:v>
      </x:c>
      <x:c r="N97" s="10" t="str"/>
      <x:c r="O97" s="10" t="str"/>
      <x:c r="P97" s="8" t="n">
        <x:f>IF(LEN(N97)&gt;0,1,0)</x:f>
        <x:v>0</x:v>
      </x:c>
    </x:row>
    <x:row r="98" ht="47.25" customHeight="1">
      <x:c r="A98" s="7" t="str">
        <x:v>TC-BR-AG-08-A</x:v>
      </x:c>
      <x:c r="B98" s="7" t="str">
        <x:v>BR-AG-08</x:v>
      </x:c>
      <x:c r="C98" s="7" t="str">
        <x:v>FR-AG-08</x:v>
      </x:c>
      <x:c r="D98" s="7" t="str">
        <x:v>Conflicting outputs acceptance</x:v>
      </x:c>
      <x:c r="E98" s="7" t="str">
        <x:v>Functional</x:v>
      </x:c>
      <x:c r="F98" s="7" t="str">
        <x:v>Must</x:v>
      </x:c>
      <x:c r="G98" s="7" t="str">
        <x:v>R1</x:v>
      </x:c>
      <x:c r="H98" s="7" t="str">
        <x:v>FX-AG-08</x:v>
      </x:c>
      <x:c r="I98" s="7" t="str">
        <x:v>Synthetic tenant A; verified actor with intended scope; relevant pack and connector test profile active; reset fixture before execution.</x:v>
      </x:c>
      <x:c r="J98" s="7" t="str">
        <x:v>1. Load FX-AG-08. 2. Store each model result separately. A conflict policy creates a human review task for incompatible outputs. 3. Capture UI/API results and stored receipt or audit evidence.</x:v>
      </x:c>
      <x:c r="K98" s="7" t="str">
        <x:v>A designed model-disagreement case produces a review task with both original outputs and no fabricated combined diagnosis.</x:v>
      </x:c>
      <x:c r="L98" s="10" t="str">
        <x:v>Not run</x:v>
      </x:c>
      <x:c r="M98" s="10" t="str">
        <x:v>QA with Worker or clinician within active scope</x:v>
      </x:c>
      <x:c r="N98" s="10" t="str"/>
      <x:c r="O98" s="10" t="str"/>
      <x:c r="P98" s="7" t="n">
        <x:f>IF(LEN(N98)&gt;0,1,0)</x:f>
        <x:v>0</x:v>
      </x:c>
    </x:row>
    <x:row r="99" ht="47.25" customHeight="1">
      <x:c r="A99" s="8" t="str">
        <x:v>TC-BR-AG-08-B</x:v>
      </x:c>
      <x:c r="B99" s="8" t="str">
        <x:v>BR-AG-08</x:v>
      </x:c>
      <x:c r="C99" s="8" t="str">
        <x:v>FR-AG-08</x:v>
      </x:c>
      <x:c r="D99" s="8" t="str">
        <x:v>Conflicting outputs adverse condition</x:v>
      </x:c>
      <x:c r="E99" s="8" t="str">
        <x:v>Negative or recovery</x:v>
      </x:c>
      <x:c r="F99" s="8" t="str">
        <x:v>Must</x:v>
      </x:c>
      <x:c r="G99" s="8" t="str">
        <x:v>R1</x:v>
      </x:c>
      <x:c r="H99" s="8" t="str">
        <x:v>FX-AG-08-NEG</x:v>
      </x:c>
      <x:c r="I99" s="8" t="str">
        <x:v>Isolated synthetic tenant; begin from the corresponding acceptance scenario; inject only the named adverse condition.</x:v>
      </x:c>
      <x:c r="J99" s="8" t="str">
        <x:v>1. Establish the normal precondition. 2. Return opposite risk outputs; no fabricated average or consensus diagnosis may appear. 3. Inspect user state, side effects, audit and any recovery queue.</x:v>
      </x:c>
      <x:c r="K99" s="8" t="str">
        <x:v>Return opposite risk outputs; no fabricated average or consensus diagnosis may appear. Evidence must show the actual final state and any accountable unresolved work.</x:v>
      </x:c>
      <x:c r="L99" s="10" t="str">
        <x:v>Not run</x:v>
      </x:c>
      <x:c r="M99" s="10" t="str">
        <x:v>QA with Worker or clinician within active scope</x:v>
      </x:c>
      <x:c r="N99" s="10" t="str"/>
      <x:c r="O99" s="10" t="str"/>
      <x:c r="P99" s="8" t="n">
        <x:f>IF(LEN(N99)&gt;0,1,0)</x:f>
        <x:v>0</x:v>
      </x:c>
    </x:row>
    <x:row r="100" ht="47.25" customHeight="1">
      <x:c r="A100" s="7" t="str">
        <x:v>TC-BR-AG-09-A</x:v>
      </x:c>
      <x:c r="B100" s="7" t="str">
        <x:v>BR-AG-09</x:v>
      </x:c>
      <x:c r="C100" s="7" t="str">
        <x:v>FR-AG-09</x:v>
      </x:c>
      <x:c r="D100" s="7" t="str">
        <x:v>Evidence behind explanations acceptance</x:v>
      </x:c>
      <x:c r="E100" s="7" t="str">
        <x:v>Functional</x:v>
      </x:c>
      <x:c r="F100" s="7" t="str">
        <x:v>Must</x:v>
      </x:c>
      <x:c r="G100" s="7" t="str">
        <x:v>R1</x:v>
      </x:c>
      <x:c r="H100" s="7" t="str">
        <x:v>FX-AG-09</x:v>
      </x:c>
      <x:c r="I100" s="7" t="str">
        <x:v>Synthetic tenant A; verified actor with intended scope; relevant pack and connector test profile active; reset fixture before execution.</x:v>
      </x:c>
      <x:c r="J100" s="7" t="str">
        <x:v>1. Load FX-AG-09. 2. Recommendation records contain source fact IDs and rule or model version references; unsupported text is excluded. 3. Capture UI/API results and stored receipt or audit evidence.</x:v>
      </x:c>
      <x:c r="K100" s="7" t="str">
        <x:v>Reviewers can trace each consequential recommendation to its underlying rule or approved output; unsupported answers are withheld or escalated.</x:v>
      </x:c>
      <x:c r="L100" s="10" t="str">
        <x:v>Not run</x:v>
      </x:c>
      <x:c r="M100" s="10" t="str">
        <x:v>QA with Worker or clinician within active scope</x:v>
      </x:c>
      <x:c r="N100" s="10" t="str"/>
      <x:c r="O100" s="10" t="str"/>
      <x:c r="P100" s="7" t="n">
        <x:f>IF(LEN(N100)&gt;0,1,0)</x:f>
        <x:v>0</x:v>
      </x:c>
    </x:row>
    <x:row r="101" ht="47.25" customHeight="1">
      <x:c r="A101" s="8" t="str">
        <x:v>TC-BR-AG-09-B</x:v>
      </x:c>
      <x:c r="B101" s="8" t="str">
        <x:v>BR-AG-09</x:v>
      </x:c>
      <x:c r="C101" s="8" t="str">
        <x:v>FR-AG-09</x:v>
      </x:c>
      <x:c r="D101" s="8" t="str">
        <x:v>Evidence behind explanations adverse condition</x:v>
      </x:c>
      <x:c r="E101" s="8" t="str">
        <x:v>Negative or recovery</x:v>
      </x:c>
      <x:c r="F101" s="8" t="str">
        <x:v>Must</x:v>
      </x:c>
      <x:c r="G101" s="8" t="str">
        <x:v>R1</x:v>
      </x:c>
      <x:c r="H101" s="8" t="str">
        <x:v>FX-AG-09-NEG</x:v>
      </x:c>
      <x:c r="I101" s="8" t="str">
        <x:v>Isolated synthetic tenant; begin from the corresponding acceptance scenario; inject only the named adverse condition.</x:v>
      </x:c>
      <x:c r="J101" s="8" t="str">
        <x:v>1. Establish the normal precondition. 2. Request an explanation that is unsupported by the record; show uncertainty or route for review. 3. Inspect user state, side effects, audit and any recovery queue.</x:v>
      </x:c>
      <x:c r="K101" s="8" t="str">
        <x:v>Request an explanation that is unsupported by the record; show uncertainty or route for review. Evidence must show the actual final state and any accountable unresolved work.</x:v>
      </x:c>
      <x:c r="L101" s="10" t="str">
        <x:v>Not run</x:v>
      </x:c>
      <x:c r="M101" s="10" t="str">
        <x:v>QA with Worker or clinician within active scope</x:v>
      </x:c>
      <x:c r="N101" s="10" t="str"/>
      <x:c r="O101" s="10" t="str"/>
      <x:c r="P101" s="8" t="n">
        <x:f>IF(LEN(N101)&gt;0,1,0)</x:f>
        <x:v>0</x:v>
      </x:c>
    </x:row>
    <x:row r="102" ht="47.25" customHeight="1">
      <x:c r="A102" s="7" t="str">
        <x:v>TC-BR-AG-10-A</x:v>
      </x:c>
      <x:c r="B102" s="7" t="str">
        <x:v>BR-AG-10</x:v>
      </x:c>
      <x:c r="C102" s="7" t="str">
        <x:v>FR-AG-10</x:v>
      </x:c>
      <x:c r="D102" s="7" t="str">
        <x:v>Clinical workflow continuity without an LLM acceptance</x:v>
      </x:c>
      <x:c r="E102" s="7" t="str">
        <x:v>Functional</x:v>
      </x:c>
      <x:c r="F102" s="7" t="str">
        <x:v>Must</x:v>
      </x:c>
      <x:c r="G102" s="7" t="str">
        <x:v>R1</x:v>
      </x:c>
      <x:c r="H102" s="7" t="str">
        <x:v>FX-AG-10</x:v>
      </x:c>
      <x:c r="I102" s="7" t="str">
        <x:v>Synthetic tenant A; verified actor with intended scope; relevant pack and connector test profile active; reset fixture before execution.</x:v>
      </x:c>
      <x:c r="J102" s="7" t="str">
        <x:v>1. Load FX-AG-10. 2. Structured capture, cached approved guidance and draft referrals operate without a model dependency. 3. Capture UI/API results and stored receipt or audit evidence.</x:v>
      </x:c>
      <x:c r="K102" s="7" t="str">
        <x:v>A simulated LLM outage leaves the core non-generative encounter workflow usable without substituting invented AI results.</x:v>
      </x:c>
      <x:c r="L102" s="10" t="str">
        <x:v>Not run</x:v>
      </x:c>
      <x:c r="M102" s="10" t="str">
        <x:v>QA with Worker or clinician within active scope</x:v>
      </x:c>
      <x:c r="N102" s="10" t="str"/>
      <x:c r="O102" s="10" t="str"/>
      <x:c r="P102" s="7" t="n">
        <x:f>IF(LEN(N102)&gt;0,1,0)</x:f>
        <x:v>0</x:v>
      </x:c>
    </x:row>
    <x:row r="103" ht="47.25" customHeight="1">
      <x:c r="A103" s="8" t="str">
        <x:v>TC-BR-AG-10-B</x:v>
      </x:c>
      <x:c r="B103" s="8" t="str">
        <x:v>BR-AG-10</x:v>
      </x:c>
      <x:c r="C103" s="8" t="str">
        <x:v>FR-AG-10</x:v>
      </x:c>
      <x:c r="D103" s="8" t="str">
        <x:v>Clinical workflow continuity without an LLM adverse condition</x:v>
      </x:c>
      <x:c r="E103" s="8" t="str">
        <x:v>Negative or recovery</x:v>
      </x:c>
      <x:c r="F103" s="8" t="str">
        <x:v>Must</x:v>
      </x:c>
      <x:c r="G103" s="8" t="str">
        <x:v>R1</x:v>
      </x:c>
      <x:c r="H103" s="8" t="str">
        <x:v>FX-AG-10-NEG</x:v>
      </x:c>
      <x:c r="I103" s="8" t="str">
        <x:v>Isolated synthetic tenant; begin from the corresponding acceptance scenario; inject only the named adverse condition.</x:v>
      </x:c>
      <x:c r="J103" s="8" t="str">
        <x:v>1. Establish the normal precondition. 2. Disable the LLM service during a visit; approved non-generative functions remain available. 3. Inspect user state, side effects, audit and any recovery queue.</x:v>
      </x:c>
      <x:c r="K103" s="8" t="str">
        <x:v>Disable the LLM service during a visit; approved non-generative functions remain available. Evidence must show the actual final state and any accountable unresolved work.</x:v>
      </x:c>
      <x:c r="L103" s="10" t="str">
        <x:v>Not run</x:v>
      </x:c>
      <x:c r="M103" s="10" t="str">
        <x:v>QA with Worker or clinician within active scope</x:v>
      </x:c>
      <x:c r="N103" s="10" t="str"/>
      <x:c r="O103" s="10" t="str"/>
      <x:c r="P103" s="8" t="n">
        <x:f>IF(LEN(N103)&gt;0,1,0)</x:f>
        <x:v>0</x:v>
      </x:c>
    </x:row>
    <x:row r="104" ht="47.25" customHeight="1">
      <x:c r="A104" s="7" t="str">
        <x:v>TC-BR-AG-11-A</x:v>
      </x:c>
      <x:c r="B104" s="7" t="str">
        <x:v>BR-AG-11</x:v>
      </x:c>
      <x:c r="C104" s="7" t="str">
        <x:v>FR-AG-11</x:v>
      </x:c>
      <x:c r="D104" s="7" t="str">
        <x:v>Programme manager analysis acceptance</x:v>
      </x:c>
      <x:c r="E104" s="7" t="str">
        <x:v>Functional</x:v>
      </x:c>
      <x:c r="F104" s="7" t="str">
        <x:v>Should</x:v>
      </x:c>
      <x:c r="G104" s="7" t="str">
        <x:v>R2</x:v>
      </x:c>
      <x:c r="H104" s="7" t="str">
        <x:v>FX-AG-11</x:v>
      </x:c>
      <x:c r="I104" s="7" t="str">
        <x:v>Synthetic tenant A; verified actor with intended scope; relevant pack and connector test profile active; reset fixture before execution.</x:v>
      </x:c>
      <x:c r="J104" s="7" t="str">
        <x:v>1. Load FX-AG-11. 2. Natural language reporting resolves to approved metric IDs and filters, then applies the same report policy checks. 3. Capture UI/API results and stored receipt or audit evidence.</x:v>
      </x:c>
      <x:c r="K104" s="7" t="str">
        <x:v>A natural-language count matches the governed report and cannot expose restricted patient lists through a reformulated query.</x:v>
      </x:c>
      <x:c r="L104" s="10" t="str">
        <x:v>Not run</x:v>
      </x:c>
      <x:c r="M104" s="10" t="str">
        <x:v>QA with Worker or clinician within active scope</x:v>
      </x:c>
      <x:c r="N104" s="10" t="str"/>
      <x:c r="O104" s="10" t="str"/>
      <x:c r="P104" s="7" t="n">
        <x:f>IF(LEN(N104)&gt;0,1,0)</x:f>
        <x:v>0</x:v>
      </x:c>
    </x:row>
    <x:row r="105" ht="47.25" customHeight="1">
      <x:c r="A105" s="8" t="str">
        <x:v>TC-BR-AG-11-B</x:v>
      </x:c>
      <x:c r="B105" s="8" t="str">
        <x:v>BR-AG-11</x:v>
      </x:c>
      <x:c r="C105" s="8" t="str">
        <x:v>FR-AG-11</x:v>
      </x:c>
      <x:c r="D105" s="8" t="str">
        <x:v>Programme manager analysis adverse condition</x:v>
      </x:c>
      <x:c r="E105" s="8" t="str">
        <x:v>Negative or recovery</x:v>
      </x:c>
      <x:c r="F105" s="8" t="str">
        <x:v>Should</x:v>
      </x:c>
      <x:c r="G105" s="8" t="str">
        <x:v>R2</x:v>
      </x:c>
      <x:c r="H105" s="8" t="str">
        <x:v>FX-AG-11-NEG</x:v>
      </x:c>
      <x:c r="I105" s="8" t="str">
        <x:v>Isolated synthetic tenant; begin from the corresponding acceptance scenario; inject only the named adverse condition.</x:v>
      </x:c>
      <x:c r="J105" s="8" t="str">
        <x:v>1. Establish the normal precondition. 2. Ask for a hidden patient list through an aggregate question; reject the disclosure. 3. Inspect user state, side effects, audit and any recovery queue.</x:v>
      </x:c>
      <x:c r="K105" s="8" t="str">
        <x:v>Ask for a hidden patient list through an aggregate question; reject the disclosure. Evidence must show the actual final state and any accountable unresolved work.</x:v>
      </x:c>
      <x:c r="L105" s="10" t="str">
        <x:v>Not run</x:v>
      </x:c>
      <x:c r="M105" s="10" t="str">
        <x:v>QA with Worker or clinician within active scope</x:v>
      </x:c>
      <x:c r="N105" s="10" t="str"/>
      <x:c r="O105" s="10" t="str"/>
      <x:c r="P105" s="8" t="n">
        <x:f>IF(LEN(N105)&gt;0,1,0)</x:f>
        <x:v>0</x:v>
      </x:c>
    </x:row>
    <x:row r="106" ht="47.25" customHeight="1">
      <x:c r="A106" s="7" t="str">
        <x:v>TC-BR-AG-12-A</x:v>
      </x:c>
      <x:c r="B106" s="7" t="str">
        <x:v>BR-AG-12</x:v>
      </x:c>
      <x:c r="C106" s="7" t="str">
        <x:v>FR-AG-12</x:v>
      </x:c>
      <x:c r="D106" s="7" t="str">
        <x:v>Change control for the agent acceptance</x:v>
      </x:c>
      <x:c r="E106" s="7" t="str">
        <x:v>Functional</x:v>
      </x:c>
      <x:c r="F106" s="7" t="str">
        <x:v>Must</x:v>
      </x:c>
      <x:c r="G106" s="7" t="str">
        <x:v>R1</x:v>
      </x:c>
      <x:c r="H106" s="7" t="str">
        <x:v>FX-AG-12</x:v>
      </x:c>
      <x:c r="I106" s="7" t="str">
        <x:v>Synthetic tenant A; verified actor with intended scope; relevant pack and connector test profile active; reset fixture before execution.</x:v>
      </x:c>
      <x:c r="J106" s="7" t="str">
        <x:v>1. Load FX-AG-12. 2. Agent release manifests pin prompts, tools, safety tests, model release IDs and rollback compatibility. 3. Capture UI/API results and stored receipt or audit evidence.</x:v>
      </x:c>
      <x:c r="K106" s="7" t="str">
        <x:v>Operators can identify the exact configuration behind an encounter and restore a previously approved configuration after a regression.</x:v>
      </x:c>
      <x:c r="L106" s="10" t="str">
        <x:v>Not run</x:v>
      </x:c>
      <x:c r="M106" s="10" t="str">
        <x:v>QA with Worker or clinician within active scope</x:v>
      </x:c>
      <x:c r="N106" s="10" t="str"/>
      <x:c r="O106" s="10" t="str"/>
      <x:c r="P106" s="7" t="n">
        <x:f>IF(LEN(N106)&gt;0,1,0)</x:f>
        <x:v>0</x:v>
      </x:c>
    </x:row>
    <x:row r="107" ht="47.25" customHeight="1">
      <x:c r="A107" s="8" t="str">
        <x:v>TC-BR-AG-12-B</x:v>
      </x:c>
      <x:c r="B107" s="8" t="str">
        <x:v>BR-AG-12</x:v>
      </x:c>
      <x:c r="C107" s="8" t="str">
        <x:v>FR-AG-12</x:v>
      </x:c>
      <x:c r="D107" s="8" t="str">
        <x:v>Change control for the agent adverse condition</x:v>
      </x:c>
      <x:c r="E107" s="8" t="str">
        <x:v>Negative or recovery</x:v>
      </x:c>
      <x:c r="F107" s="8" t="str">
        <x:v>Must</x:v>
      </x:c>
      <x:c r="G107" s="8" t="str">
        <x:v>R1</x:v>
      </x:c>
      <x:c r="H107" s="8" t="str">
        <x:v>FX-AG-12-NEG</x:v>
      </x:c>
      <x:c r="I107" s="8" t="str">
        <x:v>Isolated synthetic tenant; begin from the corresponding acceptance scenario; inject only the named adverse condition.</x:v>
      </x:c>
      <x:c r="J107" s="8" t="str">
        <x:v>1. Establish the normal precondition. 2. Change a prompt or model alias without release review; production activation must fail. 3. Inspect user state, side effects, audit and any recovery queue.</x:v>
      </x:c>
      <x:c r="K107" s="8" t="str">
        <x:v>Change a prompt or model alias without release review; production activation must fail. Evidence must show the actual final state and any accountable unresolved work.</x:v>
      </x:c>
      <x:c r="L107" s="10" t="str">
        <x:v>Not run</x:v>
      </x:c>
      <x:c r="M107" s="10" t="str">
        <x:v>QA with Worker or clinician within active scope</x:v>
      </x:c>
      <x:c r="N107" s="10" t="str"/>
      <x:c r="O107" s="10" t="str"/>
      <x:c r="P107" s="8" t="n">
        <x:f>IF(LEN(N107)&gt;0,1,0)</x:f>
        <x:v>0</x:v>
      </x:c>
    </x:row>
    <x:row r="108" ht="47.25" customHeight="1">
      <x:c r="A108" s="7" t="str">
        <x:v>TC-BR-AI-01-A</x:v>
      </x:c>
      <x:c r="B108" s="7" t="str">
        <x:v>BR-AI-01</x:v>
      </x:c>
      <x:c r="C108" s="7" t="str">
        <x:v>FR-AI-01</x:v>
      </x:c>
      <x:c r="D108" s="7" t="str">
        <x:v>Capability registration acceptance</x:v>
      </x:c>
      <x:c r="E108" s="7" t="str">
        <x:v>Functional</x:v>
      </x:c>
      <x:c r="F108" s="7" t="str">
        <x:v>Must</x:v>
      </x:c>
      <x:c r="G108" s="7" t="str">
        <x:v>R1</x:v>
      </x:c>
      <x:c r="H108" s="7" t="str">
        <x:v>FX-AI-01</x:v>
      </x:c>
      <x:c r="I108" s="7" t="str">
        <x:v>Synthetic tenant A; verified actor with intended scope; relevant pack and connector test profile active; reset fixture before execution.</x:v>
      </x:c>
      <x:c r="J108" s="7" t="str">
        <x:v>1. Load FX-AI-01. 2. A manifest version is immutable and owned by one verified provider; missing evidence keeps its activation state incomplete. 3. Capture UI/API results and stored receipt or audit evidence.</x:v>
      </x:c>
      <x:c r="K108" s="7" t="str">
        <x:v>Registration cannot reach an active state while mandatory manifest fields or accountable ownership are missing.</x:v>
      </x:c>
      <x:c r="L108" s="10" t="str">
        <x:v>Not run</x:v>
      </x:c>
      <x:c r="M108" s="10" t="str">
        <x:v>QA with AI governance owner</x:v>
      </x:c>
      <x:c r="N108" s="10" t="str"/>
      <x:c r="O108" s="10" t="str"/>
      <x:c r="P108" s="7" t="n">
        <x:f>IF(LEN(N108)&gt;0,1,0)</x:f>
        <x:v>0</x:v>
      </x:c>
    </x:row>
    <x:row r="109" ht="47.25" customHeight="1">
      <x:c r="A109" s="8" t="str">
        <x:v>TC-BR-AI-01-B</x:v>
      </x:c>
      <x:c r="B109" s="8" t="str">
        <x:v>BR-AI-01</x:v>
      </x:c>
      <x:c r="C109" s="8" t="str">
        <x:v>FR-AI-01</x:v>
      </x:c>
      <x:c r="D109" s="8" t="str">
        <x:v>Capability registration adverse condition</x:v>
      </x:c>
      <x:c r="E109" s="8" t="str">
        <x:v>Negative or recovery</x:v>
      </x:c>
      <x:c r="F109" s="8" t="str">
        <x:v>Must</x:v>
      </x:c>
      <x:c r="G109" s="8" t="str">
        <x:v>R1</x:v>
      </x:c>
      <x:c r="H109" s="8" t="str">
        <x:v>FX-AI-01-NEG</x:v>
      </x:c>
      <x:c r="I109" s="8" t="str">
        <x:v>Isolated synthetic tenant; begin from the corresponding acceptance scenario; inject only the named adverse condition.</x:v>
      </x:c>
      <x:c r="J109" s="8" t="str">
        <x:v>1. Establish the normal precondition. 2. Register a capability without input schema or accountable owner; reject activation. 3. Inspect user state, side effects, audit and any recovery queue.</x:v>
      </x:c>
      <x:c r="K109" s="8" t="str">
        <x:v>Register a capability without input schema or accountable owner; reject activation. Evidence must show the actual final state and any accountable unresolved work.</x:v>
      </x:c>
      <x:c r="L109" s="10" t="str">
        <x:v>Not run</x:v>
      </x:c>
      <x:c r="M109" s="10" t="str">
        <x:v>QA with AI governance owner</x:v>
      </x:c>
      <x:c r="N109" s="10" t="str"/>
      <x:c r="O109" s="10" t="str"/>
      <x:c r="P109" s="8" t="n">
        <x:f>IF(LEN(N109)&gt;0,1,0)</x:f>
        <x:v>0</x:v>
      </x:c>
    </x:row>
    <x:row r="110" ht="47.25" customHeight="1">
      <x:c r="A110" s="7" t="str">
        <x:v>TC-BR-AI-02-A</x:v>
      </x:c>
      <x:c r="B110" s="7" t="str">
        <x:v>BR-AI-02</x:v>
      </x:c>
      <x:c r="C110" s="7" t="str">
        <x:v>FR-AI-02</x:v>
      </x:c>
      <x:c r="D110" s="7" t="str">
        <x:v>Intended use and excluded use acceptance</x:v>
      </x:c>
      <x:c r="E110" s="7" t="str">
        <x:v>Functional</x:v>
      </x:c>
      <x:c r="F110" s="7" t="str">
        <x:v>Must</x:v>
      </x:c>
      <x:c r="G110" s="7" t="str">
        <x:v>R1</x:v>
      </x:c>
      <x:c r="H110" s="7" t="str">
        <x:v>FX-AI-02</x:v>
      </x:c>
      <x:c r="I110" s="7" t="str">
        <x:v>Synthetic tenant A; verified actor with intended scope; relevant pack and connector test profile active; reset fixture before execution.</x:v>
      </x:c>
      <x:c r="J110" s="7" t="str">
        <x:v>1. Load FX-AI-02. 2. Eligibility predicates cover role, age basis, population, language, device, geography, quality and required history. 3. Capture UI/API results and stored receipt or audit evidence.</x:v>
      </x:c>
      <x:c r="K110" s="7" t="str">
        <x:v>A capability approved for adults cannot run on a child case unless that use has separate approval.</x:v>
      </x:c>
      <x:c r="L110" s="10" t="str">
        <x:v>Not run</x:v>
      </x:c>
      <x:c r="M110" s="10" t="str">
        <x:v>QA with AI governance owner</x:v>
      </x:c>
      <x:c r="N110" s="10" t="str"/>
      <x:c r="O110" s="10" t="str"/>
      <x:c r="P110" s="7" t="n">
        <x:f>IF(LEN(N110)&gt;0,1,0)</x:f>
        <x:v>0</x:v>
      </x:c>
    </x:row>
    <x:row r="111" ht="47.25" customHeight="1">
      <x:c r="A111" s="8" t="str">
        <x:v>TC-BR-AI-02-B</x:v>
      </x:c>
      <x:c r="B111" s="8" t="str">
        <x:v>BR-AI-02</x:v>
      </x:c>
      <x:c r="C111" s="8" t="str">
        <x:v>FR-AI-02</x:v>
      </x:c>
      <x:c r="D111" s="8" t="str">
        <x:v>Intended use and excluded use adverse condition</x:v>
      </x:c>
      <x:c r="E111" s="8" t="str">
        <x:v>Negative or recovery</x:v>
      </x:c>
      <x:c r="F111" s="8" t="str">
        <x:v>Must</x:v>
      </x:c>
      <x:c r="G111" s="8" t="str">
        <x:v>R1</x:v>
      </x:c>
      <x:c r="H111" s="8" t="str">
        <x:v>FX-AI-02-NEG</x:v>
      </x:c>
      <x:c r="I111" s="8" t="str">
        <x:v>Isolated synthetic tenant; begin from the corresponding acceptance scenario; inject only the named adverse condition.</x:v>
      </x:c>
      <x:c r="J111" s="8" t="str">
        <x:v>1. Establish the normal precondition. 2. Invoke an adult-only model for a child or unknown age when age is required; return unsupported-case. 3. Inspect user state, side effects, audit and any recovery queue.</x:v>
      </x:c>
      <x:c r="K111" s="8" t="str">
        <x:v>Invoke an adult-only model for a child or unknown age when age is required; return unsupported-case. Evidence must show the actual final state and any accountable unresolved work.</x:v>
      </x:c>
      <x:c r="L111" s="10" t="str">
        <x:v>Not run</x:v>
      </x:c>
      <x:c r="M111" s="10" t="str">
        <x:v>QA with AI governance owner</x:v>
      </x:c>
      <x:c r="N111" s="10" t="str"/>
      <x:c r="O111" s="10" t="str"/>
      <x:c r="P111" s="8" t="n">
        <x:f>IF(LEN(N111)&gt;0,1,0)</x:f>
        <x:v>0</x:v>
      </x:c>
    </x:row>
    <x:row r="112" ht="47.25" customHeight="1">
      <x:c r="A112" s="7" t="str">
        <x:v>TC-BR-AI-03-A</x:v>
      </x:c>
      <x:c r="B112" s="7" t="str">
        <x:v>BR-AI-03</x:v>
      </x:c>
      <x:c r="C112" s="7" t="str">
        <x:v>FR-AI-03</x:v>
      </x:c>
      <x:c r="D112" s="7" t="str">
        <x:v>Evidence and deployment authorisation acceptance</x:v>
      </x:c>
      <x:c r="E112" s="7" t="str">
        <x:v>Functional</x:v>
      </x:c>
      <x:c r="F112" s="7" t="str">
        <x:v>Must</x:v>
      </x:c>
      <x:c r="G112" s="7" t="str">
        <x:v>R1</x:v>
      </x:c>
      <x:c r="H112" s="7" t="str">
        <x:v>FX-AI-03</x:v>
      </x:c>
      <x:c r="I112" s="7" t="str">
        <x:v>Synthetic tenant A; verified actor with intended scope; relevant pack and connector test profile active; reset fixture before execution.</x:v>
      </x:c>
      <x:c r="J112" s="7" t="str">
        <x:v>1. Load FX-AI-03. 2. Evidence and approval are distinct records tied to provider version, population, study setting and deployment scope. 3. Capture UI/API results and stored receipt or audit evidence.</x:v>
      </x:c>
      <x:c r="K112" s="7" t="str">
        <x:v>A technically successful API test cannot activate a clinical capability without the required documented evidence and deployment approvals.</x:v>
      </x:c>
      <x:c r="L112" s="10" t="str">
        <x:v>Not run</x:v>
      </x:c>
      <x:c r="M112" s="10" t="str">
        <x:v>QA with AI governance owner</x:v>
      </x:c>
      <x:c r="N112" s="10" t="str"/>
      <x:c r="O112" s="10" t="str"/>
      <x:c r="P112" s="7" t="n">
        <x:f>IF(LEN(N112)&gt;0,1,0)</x:f>
        <x:v>0</x:v>
      </x:c>
    </x:row>
    <x:row r="113" ht="47.25" customHeight="1">
      <x:c r="A113" s="8" t="str">
        <x:v>TC-BR-AI-03-B</x:v>
      </x:c>
      <x:c r="B113" s="8" t="str">
        <x:v>BR-AI-03</x:v>
      </x:c>
      <x:c r="C113" s="8" t="str">
        <x:v>FR-AI-03</x:v>
      </x:c>
      <x:c r="D113" s="8" t="str">
        <x:v>Evidence and deployment authorisation adverse condition</x:v>
      </x:c>
      <x:c r="E113" s="8" t="str">
        <x:v>Negative or recovery</x:v>
      </x:c>
      <x:c r="F113" s="8" t="str">
        <x:v>Must</x:v>
      </x:c>
      <x:c r="G113" s="8" t="str">
        <x:v>R1</x:v>
      </x:c>
      <x:c r="H113" s="8" t="str">
        <x:v>FX-AI-03-NEG</x:v>
      </x:c>
      <x:c r="I113" s="8" t="str">
        <x:v>Isolated synthetic tenant; begin from the corresponding acceptance scenario; inject only the named adverse condition.</x:v>
      </x:c>
      <x:c r="J113" s="8" t="str">
        <x:v>1. Establish the normal precondition. 2. Provide only an API success log as evidence; clinical activation remains blocked. 3. Inspect user state, side effects, audit and any recovery queue.</x:v>
      </x:c>
      <x:c r="K113" s="8" t="str">
        <x:v>Provide only an API success log as evidence; clinical activation remains blocked. Evidence must show the actual final state and any accountable unresolved work.</x:v>
      </x:c>
      <x:c r="L113" s="10" t="str">
        <x:v>Not run</x:v>
      </x:c>
      <x:c r="M113" s="10" t="str">
        <x:v>QA with AI governance owner</x:v>
      </x:c>
      <x:c r="N113" s="10" t="str"/>
      <x:c r="O113" s="10" t="str"/>
      <x:c r="P113" s="8" t="n">
        <x:f>IF(LEN(N113)&gt;0,1,0)</x:f>
        <x:v>0</x:v>
      </x:c>
    </x:row>
    <x:row r="114" ht="47.25" customHeight="1">
      <x:c r="A114" s="7" t="str">
        <x:v>TC-BR-AI-04-A</x:v>
      </x:c>
      <x:c r="B114" s="7" t="str">
        <x:v>BR-AI-04</x:v>
      </x:c>
      <x:c r="C114" s="7" t="str">
        <x:v>FR-AI-04</x:v>
      </x:c>
      <x:c r="D114" s="7" t="str">
        <x:v>Capability lifecycle acceptance</x:v>
      </x:c>
      <x:c r="E114" s="7" t="str">
        <x:v>Functional</x:v>
      </x:c>
      <x:c r="F114" s="7" t="str">
        <x:v>Must</x:v>
      </x:c>
      <x:c r="G114" s="7" t="str">
        <x:v>R1</x:v>
      </x:c>
      <x:c r="H114" s="7" t="str">
        <x:v>FX-AI-04</x:v>
      </x:c>
      <x:c r="I114" s="7" t="str">
        <x:v>Synthetic tenant A; verified actor with intended scope; relevant pack and connector test profile active; reset fixture before execution.</x:v>
      </x:c>
      <x:c r="J114" s="7" t="str">
        <x:v>1. Load FX-AI-04. 2. Lifecycle transitions require scoped roles; registration and deployment approval are independent permissions. 3. Capture UI/API results and stored receipt or audit evidence.</x:v>
      </x:c>
      <x:c r="K114" s="7" t="str">
        <x:v>A provider cannot self-activate; suspension blocks new invocations and identifies in-progress work requiring cancellation or review.</x:v>
      </x:c>
      <x:c r="L114" s="10" t="str">
        <x:v>Not run</x:v>
      </x:c>
      <x:c r="M114" s="10" t="str">
        <x:v>QA with AI governance owner</x:v>
      </x:c>
      <x:c r="N114" s="10" t="str"/>
      <x:c r="O114" s="10" t="str"/>
      <x:c r="P114" s="7" t="n">
        <x:f>IF(LEN(N114)&gt;0,1,0)</x:f>
        <x:v>0</x:v>
      </x:c>
    </x:row>
    <x:row r="115" ht="47.25" customHeight="1">
      <x:c r="A115" s="8" t="str">
        <x:v>TC-BR-AI-04-B</x:v>
      </x:c>
      <x:c r="B115" s="8" t="str">
        <x:v>BR-AI-04</x:v>
      </x:c>
      <x:c r="C115" s="8" t="str">
        <x:v>FR-AI-04</x:v>
      </x:c>
      <x:c r="D115" s="8" t="str">
        <x:v>Capability lifecycle adverse condition</x:v>
      </x:c>
      <x:c r="E115" s="8" t="str">
        <x:v>Negative or recovery</x:v>
      </x:c>
      <x:c r="F115" s="8" t="str">
        <x:v>Must</x:v>
      </x:c>
      <x:c r="G115" s="8" t="str">
        <x:v>R1</x:v>
      </x:c>
      <x:c r="H115" s="8" t="str">
        <x:v>FX-AI-04-NEG</x:v>
      </x:c>
      <x:c r="I115" s="8" t="str">
        <x:v>Isolated synthetic tenant; begin from the corresponding acceptance scenario; inject only the named adverse condition.</x:v>
      </x:c>
      <x:c r="J115" s="8" t="str">
        <x:v>1. Establish the normal precondition. 2. Provider owner tries to activate their own version in a live tenant; deny the transition. 3. Inspect user state, side effects, audit and any recovery queue.</x:v>
      </x:c>
      <x:c r="K115" s="8" t="str">
        <x:v>Provider owner tries to activate their own version in a live tenant; deny the transition. Evidence must show the actual final state and any accountable unresolved work.</x:v>
      </x:c>
      <x:c r="L115" s="10" t="str">
        <x:v>Not run</x:v>
      </x:c>
      <x:c r="M115" s="10" t="str">
        <x:v>QA with AI governance owner</x:v>
      </x:c>
      <x:c r="N115" s="10" t="str"/>
      <x:c r="O115" s="10" t="str"/>
      <x:c r="P115" s="8" t="n">
        <x:f>IF(LEN(N115)&gt;0,1,0)</x:f>
        <x:v>0</x:v>
      </x:c>
    </x:row>
    <x:row r="116" ht="47.25" customHeight="1">
      <x:c r="A116" s="7" t="str">
        <x:v>TC-BR-AI-05-A</x:v>
      </x:c>
      <x:c r="B116" s="7" t="str">
        <x:v>BR-AI-05</x:v>
      </x:c>
      <x:c r="C116" s="7" t="str">
        <x:v>FR-AI-05</x:v>
      </x:c>
      <x:c r="D116" s="7" t="str">
        <x:v>Contract validation acceptance</x:v>
      </x:c>
      <x:c r="E116" s="7" t="str">
        <x:v>Functional</x:v>
      </x:c>
      <x:c r="F116" s="7" t="str">
        <x:v>Must</x:v>
      </x:c>
      <x:c r="G116" s="7" t="str">
        <x:v>R1</x:v>
      </x:c>
      <x:c r="H116" s="7" t="str">
        <x:v>FX-AI-05</x:v>
      </x:c>
      <x:c r="I116" s="7" t="str">
        <x:v>Synthetic tenant A; verified actor with intended scope; relevant pack and connector test profile active; reset fixture before execution.</x:v>
      </x:c>
      <x:c r="J116" s="7" t="str">
        <x:v>1. Load FX-AI-05. 2. Validate request and response against pinned schemas, request correlation, media format and result semantics. 3. Capture UI/API results and stored receipt or audit evidence.</x:v>
      </x:c>
      <x:c r="K116" s="7" t="str">
        <x:v>Malformed or unsupported responses are quarantined with an actionable error and cannot be presented as a valid clinical result.</x:v>
      </x:c>
      <x:c r="L116" s="10" t="str">
        <x:v>Not run</x:v>
      </x:c>
      <x:c r="M116" s="10" t="str">
        <x:v>QA with AI governance owner</x:v>
      </x:c>
      <x:c r="N116" s="10" t="str"/>
      <x:c r="O116" s="10" t="str"/>
      <x:c r="P116" s="7" t="n">
        <x:f>IF(LEN(N116)&gt;0,1,0)</x:f>
        <x:v>0</x:v>
      </x:c>
    </x:row>
    <x:row r="117" ht="47.25" customHeight="1">
      <x:c r="A117" s="8" t="str">
        <x:v>TC-BR-AI-05-B</x:v>
      </x:c>
      <x:c r="B117" s="8" t="str">
        <x:v>BR-AI-05</x:v>
      </x:c>
      <x:c r="C117" s="8" t="str">
        <x:v>FR-AI-05</x:v>
      </x:c>
      <x:c r="D117" s="8" t="str">
        <x:v>Contract validation adverse condition</x:v>
      </x:c>
      <x:c r="E117" s="8" t="str">
        <x:v>Negative or recovery</x:v>
      </x:c>
      <x:c r="F117" s="8" t="str">
        <x:v>Must</x:v>
      </x:c>
      <x:c r="G117" s="8" t="str">
        <x:v>R1</x:v>
      </x:c>
      <x:c r="H117" s="8" t="str">
        <x:v>FX-AI-05-NEG</x:v>
      </x:c>
      <x:c r="I117" s="8" t="str">
        <x:v>Isolated synthetic tenant; begin from the corresponding acceptance scenario; inject only the named adverse condition.</x:v>
      </x:c>
      <x:c r="J117" s="8" t="str">
        <x:v>1. Establish the normal precondition. 2. Return a success response missing mandatory result fields; quarantine it as invalid response. 3. Inspect user state, side effects, audit and any recovery queue.</x:v>
      </x:c>
      <x:c r="K117" s="8" t="str">
        <x:v>Return a success response missing mandatory result fields; quarantine it as invalid response. Evidence must show the actual final state and any accountable unresolved work.</x:v>
      </x:c>
      <x:c r="L117" s="10" t="str">
        <x:v>Not run</x:v>
      </x:c>
      <x:c r="M117" s="10" t="str">
        <x:v>QA with AI governance owner</x:v>
      </x:c>
      <x:c r="N117" s="10" t="str"/>
      <x:c r="O117" s="10" t="str"/>
      <x:c r="P117" s="8" t="n">
        <x:f>IF(LEN(N117)&gt;0,1,0)</x:f>
        <x:v>0</x:v>
      </x:c>
    </x:row>
    <x:row r="118" ht="47.25" customHeight="1">
      <x:c r="A118" s="7" t="str">
        <x:v>TC-BR-AI-06-A</x:v>
      </x:c>
      <x:c r="B118" s="7" t="str">
        <x:v>BR-AI-06</x:v>
      </x:c>
      <x:c r="C118" s="7" t="str">
        <x:v>FR-AI-06</x:v>
      </x:c>
      <x:c r="D118" s="7" t="str">
        <x:v>Input quality and inability to assess acceptance</x:v>
      </x:c>
      <x:c r="E118" s="7" t="str">
        <x:v>Functional</x:v>
      </x:c>
      <x:c r="F118" s="7" t="str">
        <x:v>Must</x:v>
      </x:c>
      <x:c r="G118" s="7" t="str">
        <x:v>R1</x:v>
      </x:c>
      <x:c r="H118" s="7" t="str">
        <x:v>FX-AI-06</x:v>
      </x:c>
      <x:c r="I118" s="7" t="str">
        <x:v>Synthetic tenant A; verified actor with intended scope; relevant pack and connector test profile active; reset fixture before execution.</x:v>
      </x:c>
      <x:c r="J118" s="7" t="str">
        <x:v>1. Load FX-AI-06. 2. Capture quality failures carry retry guidance from approved provider instructions and do not yield clinical risk values. 3. Capture UI/API results and stored receipt or audit evidence.</x:v>
      </x:c>
      <x:c r="K118" s="7" t="str">
        <x:v>A noisy cough recording produces a quality failure or valid retry instruction, never an implied negative screen.</x:v>
      </x:c>
      <x:c r="L118" s="10" t="str">
        <x:v>Not run</x:v>
      </x:c>
      <x:c r="M118" s="10" t="str">
        <x:v>QA with AI governance owner</x:v>
      </x:c>
      <x:c r="N118" s="10" t="str"/>
      <x:c r="O118" s="10" t="str"/>
      <x:c r="P118" s="7" t="n">
        <x:f>IF(LEN(N118)&gt;0,1,0)</x:f>
        <x:v>0</x:v>
      </x:c>
    </x:row>
    <x:row r="119" ht="47.25" customHeight="1">
      <x:c r="A119" s="8" t="str">
        <x:v>TC-BR-AI-06-B</x:v>
      </x:c>
      <x:c r="B119" s="8" t="str">
        <x:v>BR-AI-06</x:v>
      </x:c>
      <x:c r="C119" s="8" t="str">
        <x:v>FR-AI-06</x:v>
      </x:c>
      <x:c r="D119" s="8" t="str">
        <x:v>Input quality and inability to assess adverse condition</x:v>
      </x:c>
      <x:c r="E119" s="8" t="str">
        <x:v>Negative or recovery</x:v>
      </x:c>
      <x:c r="F119" s="8" t="str">
        <x:v>Must</x:v>
      </x:c>
      <x:c r="G119" s="8" t="str">
        <x:v>R1</x:v>
      </x:c>
      <x:c r="H119" s="8" t="str">
        <x:v>FX-AI-06-NEG</x:v>
      </x:c>
      <x:c r="I119" s="8" t="str">
        <x:v>Isolated synthetic tenant; begin from the corresponding acceptance scenario; inject only the named adverse condition.</x:v>
      </x:c>
      <x:c r="J119" s="8" t="str">
        <x:v>1. Establish the normal precondition. 2. Send unusable cough audio; no negative screening label may be generated. 3. Inspect user state, side effects, audit and any recovery queue.</x:v>
      </x:c>
      <x:c r="K119" s="8" t="str">
        <x:v>Send unusable cough audio; no negative screening label may be generated. Evidence must show the actual final state and any accountable unresolved work.</x:v>
      </x:c>
      <x:c r="L119" s="10" t="str">
        <x:v>Not run</x:v>
      </x:c>
      <x:c r="M119" s="10" t="str">
        <x:v>QA with AI governance owner</x:v>
      </x:c>
      <x:c r="N119" s="10" t="str"/>
      <x:c r="O119" s="10" t="str"/>
      <x:c r="P119" s="8" t="n">
        <x:f>IF(LEN(N119)&gt;0,1,0)</x:f>
        <x:v>0</x:v>
      </x:c>
    </x:row>
    <x:row r="120" ht="47.25" customHeight="1">
      <x:c r="A120" s="7" t="str">
        <x:v>TC-BR-AI-07-A</x:v>
      </x:c>
      <x:c r="B120" s="7" t="str">
        <x:v>BR-AI-07</x:v>
      </x:c>
      <x:c r="C120" s="7" t="str">
        <x:v>FR-AI-07</x:v>
      </x:c>
      <x:c r="D120" s="7" t="str">
        <x:v>Version pinning acceptance</x:v>
      </x:c>
      <x:c r="E120" s="7" t="str">
        <x:v>Functional</x:v>
      </x:c>
      <x:c r="F120" s="7" t="str">
        <x:v>Must</x:v>
      </x:c>
      <x:c r="G120" s="7" t="str">
        <x:v>R1</x:v>
      </x:c>
      <x:c r="H120" s="7" t="str">
        <x:v>FX-AI-07</x:v>
      </x:c>
      <x:c r="I120" s="7" t="str">
        <x:v>Synthetic tenant A; verified actor with intended scope; relevant pack and connector test profile active; reset fixture before execution.</x:v>
      </x:c>
      <x:c r="J120" s="7" t="str">
        <x:v>1. Load FX-AI-07. 2. Each invocation stores manifest version, provider release ID, input hash and adapter version; mutable aliases are not accepted alone. 3. Capture UI/API results and stored receipt or audit evidence.</x:v>
      </x:c>
      <x:c r="K120" s="7" t="str">
        <x:v>A provider version change triggers quarantine or controlled reapproval and cannot silently replace a validated version.</x:v>
      </x:c>
      <x:c r="L120" s="10" t="str">
        <x:v>Not run</x:v>
      </x:c>
      <x:c r="M120" s="10" t="str">
        <x:v>QA with AI governance owner</x:v>
      </x:c>
      <x:c r="N120" s="10" t="str"/>
      <x:c r="O120" s="10" t="str"/>
      <x:c r="P120" s="7" t="n">
        <x:f>IF(LEN(N120)&gt;0,1,0)</x:f>
        <x:v>0</x:v>
      </x:c>
    </x:row>
    <x:row r="121" ht="47.25" customHeight="1">
      <x:c r="A121" s="8" t="str">
        <x:v>TC-BR-AI-07-B</x:v>
      </x:c>
      <x:c r="B121" s="8" t="str">
        <x:v>BR-AI-07</x:v>
      </x:c>
      <x:c r="C121" s="8" t="str">
        <x:v>FR-AI-07</x:v>
      </x:c>
      <x:c r="D121" s="8" t="str">
        <x:v>Version pinning adverse condition</x:v>
      </x:c>
      <x:c r="E121" s="8" t="str">
        <x:v>Negative or recovery</x:v>
      </x:c>
      <x:c r="F121" s="8" t="str">
        <x:v>Must</x:v>
      </x:c>
      <x:c r="G121" s="8" t="str">
        <x:v>R1</x:v>
      </x:c>
      <x:c r="H121" s="8" t="str">
        <x:v>FX-AI-07-NEG</x:v>
      </x:c>
      <x:c r="I121" s="8" t="str">
        <x:v>Isolated synthetic tenant; begin from the corresponding acceptance scenario; inject only the named adverse condition.</x:v>
      </x:c>
      <x:c r="J121" s="8" t="str">
        <x:v>1. Establish the normal precondition. 2. Provider changes its reported version mid-session; hold affected results for review. 3. Inspect user state, side effects, audit and any recovery queue.</x:v>
      </x:c>
      <x:c r="K121" s="8" t="str">
        <x:v>Provider changes its reported version mid-session; hold affected results for review. Evidence must show the actual final state and any accountable unresolved work.</x:v>
      </x:c>
      <x:c r="L121" s="10" t="str">
        <x:v>Not run</x:v>
      </x:c>
      <x:c r="M121" s="10" t="str">
        <x:v>QA with AI governance owner</x:v>
      </x:c>
      <x:c r="N121" s="10" t="str"/>
      <x:c r="O121" s="10" t="str"/>
      <x:c r="P121" s="8" t="n">
        <x:f>IF(LEN(N121)&gt;0,1,0)</x:f>
        <x:v>0</x:v>
      </x:c>
    </x:row>
    <x:row r="122" ht="47.25" customHeight="1">
      <x:c r="A122" s="7" t="str">
        <x:v>TC-BR-AI-08-A</x:v>
      </x:c>
      <x:c r="B122" s="7" t="str">
        <x:v>BR-AI-08</x:v>
      </x:c>
      <x:c r="C122" s="7" t="str">
        <x:v>FR-AI-08</x:v>
      </x:c>
      <x:c r="D122" s="7" t="str">
        <x:v>Least-data provider invocation acceptance</x:v>
      </x:c>
      <x:c r="E122" s="7" t="str">
        <x:v>Functional</x:v>
      </x:c>
      <x:c r="F122" s="7" t="str">
        <x:v>Must</x:v>
      </x:c>
      <x:c r="G122" s="7" t="str">
        <x:v>R1</x:v>
      </x:c>
      <x:c r="H122" s="7" t="str">
        <x:v>FX-AI-08</x:v>
      </x:c>
      <x:c r="I122" s="7" t="str">
        <x:v>Synthetic tenant A; verified actor with intended scope; relevant pack and connector test profile active; reset fixture before execution.</x:v>
      </x:c>
      <x:c r="J122" s="7" t="str">
        <x:v>1. Load FX-AI-08. 2. Build payloads from manifest-required fields intersected with purpose permissions; log references rather than raw payloads. 3. Capture UI/API results and stored receipt or audit evidence.</x:v>
      </x:c>
      <x:c r="K122" s="7" t="str">
        <x:v>Payload inspection confirms excluded identifiers are absent and a provider with incompatible retention terms is blocked.</x:v>
      </x:c>
      <x:c r="L122" s="10" t="str">
        <x:v>Not run</x:v>
      </x:c>
      <x:c r="M122" s="10" t="str">
        <x:v>QA with AI governance owner</x:v>
      </x:c>
      <x:c r="N122" s="10" t="str"/>
      <x:c r="O122" s="10" t="str"/>
      <x:c r="P122" s="7" t="n">
        <x:f>IF(LEN(N122)&gt;0,1,0)</x:f>
        <x:v>0</x:v>
      </x:c>
    </x:row>
    <x:row r="123" ht="47.25" customHeight="1">
      <x:c r="A123" s="8" t="str">
        <x:v>TC-BR-AI-08-B</x:v>
      </x:c>
      <x:c r="B123" s="8" t="str">
        <x:v>BR-AI-08</x:v>
      </x:c>
      <x:c r="C123" s="8" t="str">
        <x:v>FR-AI-08</x:v>
      </x:c>
      <x:c r="D123" s="8" t="str">
        <x:v>Least-data provider invocation adverse condition</x:v>
      </x:c>
      <x:c r="E123" s="8" t="str">
        <x:v>Negative or recovery</x:v>
      </x:c>
      <x:c r="F123" s="8" t="str">
        <x:v>Must</x:v>
      </x:c>
      <x:c r="G123" s="8" t="str">
        <x:v>R1</x:v>
      </x:c>
      <x:c r="H123" s="8" t="str">
        <x:v>FX-AI-08-NEG</x:v>
      </x:c>
      <x:c r="I123" s="8" t="str">
        <x:v>Isolated synthetic tenant; begin from the corresponding acceptance scenario; inject only the named adverse condition.</x:v>
      </x:c>
      <x:c r="J123" s="8" t="str">
        <x:v>1. Establish the normal precondition. 2. Inspect a call whose model needs audio only; unnecessary name or ABHA fields must be absent. 3. Inspect user state, side effects, audit and any recovery queue.</x:v>
      </x:c>
      <x:c r="K123" s="8" t="str">
        <x:v>Inspect a call whose model needs audio only; unnecessary name or ABHA fields must be absent. Evidence must show the actual final state and any accountable unresolved work.</x:v>
      </x:c>
      <x:c r="L123" s="10" t="str">
        <x:v>Not run</x:v>
      </x:c>
      <x:c r="M123" s="10" t="str">
        <x:v>QA with AI governance owner</x:v>
      </x:c>
      <x:c r="N123" s="10" t="str"/>
      <x:c r="O123" s="10" t="str"/>
      <x:c r="P123" s="8" t="n">
        <x:f>IF(LEN(N123)&gt;0,1,0)</x:f>
        <x:v>0</x:v>
      </x:c>
    </x:row>
    <x:row r="124" ht="47.25" customHeight="1">
      <x:c r="A124" s="7" t="str">
        <x:v>TC-BR-AI-09-A</x:v>
      </x:c>
      <x:c r="B124" s="7" t="str">
        <x:v>BR-AI-09</x:v>
      </x:c>
      <x:c r="C124" s="7" t="str">
        <x:v>FR-AI-09</x:v>
      </x:c>
      <x:c r="D124" s="7" t="str">
        <x:v>Multi-provider result history acceptance</x:v>
      </x:c>
      <x:c r="E124" s="7" t="str">
        <x:v>Functional</x:v>
      </x:c>
      <x:c r="F124" s="7" t="str">
        <x:v>Must</x:v>
      </x:c>
      <x:c r="G124" s="7" t="str">
        <x:v>R1</x:v>
      </x:c>
      <x:c r="H124" s="7" t="str">
        <x:v>FX-AI-09</x:v>
      </x:c>
      <x:c r="I124" s="7" t="str">
        <x:v>Synthetic tenant A; verified actor with intended scope; relevant pack and connector test profile active; reset fixture before execution.</x:v>
      </x:c>
      <x:c r="J124" s="7" t="str">
        <x:v>1. Load FX-AI-09. 2. Results are immutable references with provider attribution. Switching a provider creates a new invocation, never rewrites history. 3. Capture UI/API results and stored receipt or audit evidence.</x:v>
      </x:c>
      <x:c r="K124" s="7" t="str">
        <x:v>An encounter spanning a provider change shows both results independently with their input timestamps and review states.</x:v>
      </x:c>
      <x:c r="L124" s="10" t="str">
        <x:v>Not run</x:v>
      </x:c>
      <x:c r="M124" s="10" t="str">
        <x:v>QA with AI governance owner</x:v>
      </x:c>
      <x:c r="N124" s="10" t="str"/>
      <x:c r="O124" s="10" t="str"/>
      <x:c r="P124" s="7" t="n">
        <x:f>IF(LEN(N124)&gt;0,1,0)</x:f>
        <x:v>0</x:v>
      </x:c>
    </x:row>
    <x:row r="125" ht="47.25" customHeight="1">
      <x:c r="A125" s="8" t="str">
        <x:v>TC-BR-AI-09-B</x:v>
      </x:c>
      <x:c r="B125" s="8" t="str">
        <x:v>BR-AI-09</x:v>
      </x:c>
      <x:c r="C125" s="8" t="str">
        <x:v>FR-AI-09</x:v>
      </x:c>
      <x:c r="D125" s="8" t="str">
        <x:v>Multi-provider result history adverse condition</x:v>
      </x:c>
      <x:c r="E125" s="8" t="str">
        <x:v>Negative or recovery</x:v>
      </x:c>
      <x:c r="F125" s="8" t="str">
        <x:v>Must</x:v>
      </x:c>
      <x:c r="G125" s="8" t="str">
        <x:v>R1</x:v>
      </x:c>
      <x:c r="H125" s="8" t="str">
        <x:v>FX-AI-09-NEG</x:v>
      </x:c>
      <x:c r="I125" s="8" t="str">
        <x:v>Isolated synthetic tenant; begin from the corresponding acceptance scenario; inject only the named adverse condition.</x:v>
      </x:c>
      <x:c r="J125" s="8" t="str">
        <x:v>1. Establish the normal precondition. 2. Replace an active model and view an old encounter; the original provider and output remain visible. 3. Inspect user state, side effects, audit and any recovery queue.</x:v>
      </x:c>
      <x:c r="K125" s="8" t="str">
        <x:v>Replace an active model and view an old encounter; the original provider and output remain visible. Evidence must show the actual final state and any accountable unresolved work.</x:v>
      </x:c>
      <x:c r="L125" s="10" t="str">
        <x:v>Not run</x:v>
      </x:c>
      <x:c r="M125" s="10" t="str">
        <x:v>QA with AI governance owner</x:v>
      </x:c>
      <x:c r="N125" s="10" t="str"/>
      <x:c r="O125" s="10" t="str"/>
      <x:c r="P125" s="8" t="n">
        <x:f>IF(LEN(N125)&gt;0,1,0)</x:f>
        <x:v>0</x:v>
      </x:c>
    </x:row>
    <x:row r="126" ht="47.25" customHeight="1">
      <x:c r="A126" s="7" t="str">
        <x:v>TC-BR-AI-10-A</x:v>
      </x:c>
      <x:c r="B126" s="7" t="str">
        <x:v>BR-AI-10</x:v>
      </x:c>
      <x:c r="C126" s="7" t="str">
        <x:v>FR-AI-10</x:v>
      </x:c>
      <x:c r="D126" s="7" t="str">
        <x:v>Monitoring and safety suspension acceptance</x:v>
      </x:c>
      <x:c r="E126" s="7" t="str">
        <x:v>Functional</x:v>
      </x:c>
      <x:c r="F126" s="7" t="str">
        <x:v>Must</x:v>
      </x:c>
      <x:c r="G126" s="7" t="str">
        <x:v>R1</x:v>
      </x:c>
      <x:c r="H126" s="7" t="str">
        <x:v>FX-AI-10</x:v>
      </x:c>
      <x:c r="I126" s="7" t="str">
        <x:v>Synthetic tenant A; verified actor with intended scope; relevant pack and connector test profile active; reset fixture before execution.</x:v>
      </x:c>
      <x:c r="J126" s="7" t="str">
        <x:v>1. Load FX-AI-10. 2. Suspension sets an effective timestamp, prevents new admissions and emits tasks for affected pending or recent encounters. 3. Capture UI/API results and stored receipt or audit evidence.</x:v>
      </x:c>
      <x:c r="K126" s="7" t="str">
        <x:v>Operators can suspend a named version, identify affected encounters and assign follow-up without disabling unrelated safe capabilities.</x:v>
      </x:c>
      <x:c r="L126" s="10" t="str">
        <x:v>Not run</x:v>
      </x:c>
      <x:c r="M126" s="10" t="str">
        <x:v>QA with AI governance owner</x:v>
      </x:c>
      <x:c r="N126" s="10" t="str"/>
      <x:c r="O126" s="10" t="str"/>
      <x:c r="P126" s="7" t="n">
        <x:f>IF(LEN(N126)&gt;0,1,0)</x:f>
        <x:v>0</x:v>
      </x:c>
    </x:row>
    <x:row r="127" ht="47.25" customHeight="1">
      <x:c r="A127" s="8" t="str">
        <x:v>TC-BR-AI-10-B</x:v>
      </x:c>
      <x:c r="B127" s="8" t="str">
        <x:v>BR-AI-10</x:v>
      </x:c>
      <x:c r="C127" s="8" t="str">
        <x:v>FR-AI-10</x:v>
      </x:c>
      <x:c r="D127" s="8" t="str">
        <x:v>Monitoring and safety suspension adverse condition</x:v>
      </x:c>
      <x:c r="E127" s="8" t="str">
        <x:v>Negative or recovery</x:v>
      </x:c>
      <x:c r="F127" s="8" t="str">
        <x:v>Must</x:v>
      </x:c>
      <x:c r="G127" s="8" t="str">
        <x:v>R1</x:v>
      </x:c>
      <x:c r="H127" s="8" t="str">
        <x:v>FX-AI-10-NEG</x:v>
      </x:c>
      <x:c r="I127" s="8" t="str">
        <x:v>Isolated synthetic tenant; begin from the corresponding acceptance scenario; inject only the named adverse condition.</x:v>
      </x:c>
      <x:c r="J127" s="8" t="str">
        <x:v>1. Establish the normal precondition. 2. Suspend a provider while requests are queued; no new provider call may leave the broker. 3. Inspect user state, side effects, audit and any recovery queue.</x:v>
      </x:c>
      <x:c r="K127" s="8" t="str">
        <x:v>Suspend a provider while requests are queued; no new provider call may leave the broker. Evidence must show the actual final state and any accountable unresolved work.</x:v>
      </x:c>
      <x:c r="L127" s="10" t="str">
        <x:v>Not run</x:v>
      </x:c>
      <x:c r="M127" s="10" t="str">
        <x:v>QA with AI governance owner</x:v>
      </x:c>
      <x:c r="N127" s="10" t="str"/>
      <x:c r="O127" s="10" t="str"/>
      <x:c r="P127" s="8" t="n">
        <x:f>IF(LEN(N127)&gt;0,1,0)</x:f>
        <x:v>0</x:v>
      </x:c>
    </x:row>
    <x:row r="128" ht="47.25" customHeight="1">
      <x:c r="A128" s="7" t="str">
        <x:v>TC-BR-AI-11-A</x:v>
      </x:c>
      <x:c r="B128" s="7" t="str">
        <x:v>BR-AI-11</x:v>
      </x:c>
      <x:c r="C128" s="7" t="str">
        <x:v>FR-AI-11</x:v>
      </x:c>
      <x:c r="D128" s="7" t="str">
        <x:v>Provider self-service in a controlled environment acceptance</x:v>
      </x:c>
      <x:c r="E128" s="7" t="str">
        <x:v>Functional</x:v>
      </x:c>
      <x:c r="F128" s="7" t="str">
        <x:v>Should</x:v>
      </x:c>
      <x:c r="G128" s="7" t="str">
        <x:v>R2</x:v>
      </x:c>
      <x:c r="H128" s="7" t="str">
        <x:v>FX-AI-11</x:v>
      </x:c>
      <x:c r="I128" s="7" t="str">
        <x:v>Synthetic tenant A; verified actor with intended scope; relevant pack and connector test profile active; reset fixture before execution.</x:v>
      </x:c>
      <x:c r="J128" s="7" t="str">
        <x:v>1. Load FX-AI-11. 2. Provider workspaces allow manifest drafts and synthetic fixtures only; live activation stays in deployment governance. 3. Capture UI/API results and stored receipt or audit evidence.</x:v>
      </x:c>
      <x:c r="K128" s="7" t="str">
        <x:v>Provider test access remains limited to its own capability and synthetic environment; production activation follows the standard review path.</x:v>
      </x:c>
      <x:c r="L128" s="10" t="str">
        <x:v>Not run</x:v>
      </x:c>
      <x:c r="M128" s="10" t="str">
        <x:v>QA with AI governance owner</x:v>
      </x:c>
      <x:c r="N128" s="10" t="str"/>
      <x:c r="O128" s="10" t="str"/>
      <x:c r="P128" s="7" t="n">
        <x:f>IF(LEN(N128)&gt;0,1,0)</x:f>
        <x:v>0</x:v>
      </x:c>
    </x:row>
    <x:row r="129" ht="47.25" customHeight="1">
      <x:c r="A129" s="8" t="str">
        <x:v>TC-BR-AI-11-B</x:v>
      </x:c>
      <x:c r="B129" s="8" t="str">
        <x:v>BR-AI-11</x:v>
      </x:c>
      <x:c r="C129" s="8" t="str">
        <x:v>FR-AI-11</x:v>
      </x:c>
      <x:c r="D129" s="8" t="str">
        <x:v>Provider self-service in a controlled environment adverse condition</x:v>
      </x:c>
      <x:c r="E129" s="8" t="str">
        <x:v>Negative or recovery</x:v>
      </x:c>
      <x:c r="F129" s="8" t="str">
        <x:v>Should</x:v>
      </x:c>
      <x:c r="G129" s="8" t="str">
        <x:v>R2</x:v>
      </x:c>
      <x:c r="H129" s="8" t="str">
        <x:v>FX-AI-11-NEG</x:v>
      </x:c>
      <x:c r="I129" s="8" t="str">
        <x:v>Isolated synthetic tenant; begin from the corresponding acceptance scenario; inject only the named adverse condition.</x:v>
      </x:c>
      <x:c r="J129" s="8" t="str">
        <x:v>1. Establish the normal precondition. 2. A provider account attempts to read a real encounter or another vendor manifest draft; deny access. 3. Inspect user state, side effects, audit and any recovery queue.</x:v>
      </x:c>
      <x:c r="K129" s="8" t="str">
        <x:v>A provider account attempts to read a real encounter or another vendor manifest draft; deny access. Evidence must show the actual final state and any accountable unresolved work.</x:v>
      </x:c>
      <x:c r="L129" s="10" t="str">
        <x:v>Not run</x:v>
      </x:c>
      <x:c r="M129" s="10" t="str">
        <x:v>QA with AI governance owner</x:v>
      </x:c>
      <x:c r="N129" s="10" t="str"/>
      <x:c r="O129" s="10" t="str"/>
      <x:c r="P129" s="8" t="n">
        <x:f>IF(LEN(N129)&gt;0,1,0)</x:f>
        <x:v>0</x:v>
      </x:c>
    </x:row>
    <x:row r="130" ht="47.25" customHeight="1">
      <x:c r="A130" s="7" t="str">
        <x:v>TC-BR-AI-12-A</x:v>
      </x:c>
      <x:c r="B130" s="7" t="str">
        <x:v>BR-AI-12</x:v>
      </x:c>
      <x:c r="C130" s="7" t="str">
        <x:v>FR-AI-12</x:v>
      </x:c>
      <x:c r="D130" s="7" t="str">
        <x:v>Cost and contractual limits acceptance</x:v>
      </x:c>
      <x:c r="E130" s="7" t="str">
        <x:v>Functional</x:v>
      </x:c>
      <x:c r="F130" s="7" t="str">
        <x:v>Must</x:v>
      </x:c>
      <x:c r="G130" s="7" t="str">
        <x:v>R1</x:v>
      </x:c>
      <x:c r="H130" s="7" t="str">
        <x:v>FX-AI-12</x:v>
      </x:c>
      <x:c r="I130" s="7" t="str">
        <x:v>Synthetic tenant A; verified actor with intended scope; relevant pack and connector test profile active; reset fixture before execution.</x:v>
      </x:c>
      <x:c r="J130" s="7" t="str">
        <x:v>1. Load FX-AI-12. 2. Budget admission reserves the maximum approved call cost and settles actual charges or releases unused reservation. 3. Capture UI/API results and stored receipt or audit evidence.</x:v>
      </x:c>
      <x:c r="K130" s="7" t="str">
        <x:v>Reaching a cost limit results in a visible controlled fallback and does not silently select an unapproved model.</x:v>
      </x:c>
      <x:c r="L130" s="10" t="str">
        <x:v>Not run</x:v>
      </x:c>
      <x:c r="M130" s="10" t="str">
        <x:v>QA with AI governance owner</x:v>
      </x:c>
      <x:c r="N130" s="10" t="str"/>
      <x:c r="O130" s="10" t="str"/>
      <x:c r="P130" s="7" t="n">
        <x:f>IF(LEN(N130)&gt;0,1,0)</x:f>
        <x:v>0</x:v>
      </x:c>
    </x:row>
    <x:row r="131" ht="47.25" customHeight="1">
      <x:c r="A131" s="8" t="str">
        <x:v>TC-BR-AI-12-B</x:v>
      </x:c>
      <x:c r="B131" s="8" t="str">
        <x:v>BR-AI-12</x:v>
      </x:c>
      <x:c r="C131" s="8" t="str">
        <x:v>FR-AI-12</x:v>
      </x:c>
      <x:c r="D131" s="8" t="str">
        <x:v>Cost and contractual limits adverse condition</x:v>
      </x:c>
      <x:c r="E131" s="8" t="str">
        <x:v>Negative or recovery</x:v>
      </x:c>
      <x:c r="F131" s="8" t="str">
        <x:v>Must</x:v>
      </x:c>
      <x:c r="G131" s="8" t="str">
        <x:v>R1</x:v>
      </x:c>
      <x:c r="H131" s="8" t="str">
        <x:v>FX-AI-12-NEG</x:v>
      </x:c>
      <x:c r="I131" s="8" t="str">
        <x:v>Isolated synthetic tenant; begin from the corresponding acceptance scenario; inject only the named adverse condition.</x:v>
      </x:c>
      <x:c r="J131" s="8" t="str">
        <x:v>1. Establish the normal precondition. 2. Submit simultaneous calls beyond the remaining budget; only admissible calls reserve funds. 3. Inspect user state, side effects, audit and any recovery queue.</x:v>
      </x:c>
      <x:c r="K131" s="8" t="str">
        <x:v>Submit simultaneous calls beyond the remaining budget; only admissible calls reserve funds. Evidence must show the actual final state and any accountable unresolved work.</x:v>
      </x:c>
      <x:c r="L131" s="10" t="str">
        <x:v>Not run</x:v>
      </x:c>
      <x:c r="M131" s="10" t="str">
        <x:v>QA with AI governance owner</x:v>
      </x:c>
      <x:c r="N131" s="10" t="str"/>
      <x:c r="O131" s="10" t="str"/>
      <x:c r="P131" s="8" t="n">
        <x:f>IF(LEN(N131)&gt;0,1,0)</x:f>
        <x:v>0</x:v>
      </x:c>
    </x:row>
    <x:row r="132" ht="47.25" customHeight="1">
      <x:c r="A132" s="7" t="str">
        <x:v>TC-BR-CLIN-01-A</x:v>
      </x:c>
      <x:c r="B132" s="7" t="str">
        <x:v>BR-CLIN-01</x:v>
      </x:c>
      <x:c r="C132" s="7" t="str">
        <x:v>FR-CLIN-01</x:v>
      </x:c>
      <x:c r="D132" s="7" t="str">
        <x:v>Approved source library acceptance</x:v>
      </x:c>
      <x:c r="E132" s="7" t="str">
        <x:v>Functional</x:v>
      </x:c>
      <x:c r="F132" s="7" t="str">
        <x:v>Must</x:v>
      </x:c>
      <x:c r="G132" s="7" t="str">
        <x:v>R1</x:v>
      </x:c>
      <x:c r="H132" s="7" t="str">
        <x:v>FX-CLIN-01</x:v>
      </x:c>
      <x:c r="I132" s="7" t="str">
        <x:v>Synthetic tenant A; verified actor with intended scope; relevant pack and connector test profile active; reset fixture before execution.</x:v>
      </x:c>
      <x:c r="J132" s="7" t="str">
        <x:v>1. Load FX-CLIN-01. 2. Knowledge entries require source, version, applicability, reviewer and expiry. Retrieval filters by active local approval. 3. Capture UI/API results and stored receipt or audit evidence.</x:v>
      </x:c>
      <x:c r="K132" s="7" t="str">
        <x:v>Superseded or unapproved guidance cannot be offered as current advice, and each displayed recommendation links to its source.</x:v>
      </x:c>
      <x:c r="L132" s="10" t="str">
        <x:v>Not run</x:v>
      </x:c>
      <x:c r="M132" s="10" t="str">
        <x:v>QA with Clinical safety lead and clinician</x:v>
      </x:c>
      <x:c r="N132" s="10" t="str"/>
      <x:c r="O132" s="10" t="str"/>
      <x:c r="P132" s="7" t="n">
        <x:f>IF(LEN(N132)&gt;0,1,0)</x:f>
        <x:v>0</x:v>
      </x:c>
    </x:row>
    <x:row r="133" ht="47.25" customHeight="1">
      <x:c r="A133" s="8" t="str">
        <x:v>TC-BR-CLIN-01-B</x:v>
      </x:c>
      <x:c r="B133" s="8" t="str">
        <x:v>BR-CLIN-01</x:v>
      </x:c>
      <x:c r="C133" s="8" t="str">
        <x:v>FR-CLIN-01</x:v>
      </x:c>
      <x:c r="D133" s="8" t="str">
        <x:v>Approved source library adverse condition</x:v>
      </x:c>
      <x:c r="E133" s="8" t="str">
        <x:v>Negative or recovery</x:v>
      </x:c>
      <x:c r="F133" s="8" t="str">
        <x:v>Must</x:v>
      </x:c>
      <x:c r="G133" s="8" t="str">
        <x:v>R1</x:v>
      </x:c>
      <x:c r="H133" s="8" t="str">
        <x:v>FX-CLIN-01-NEG</x:v>
      </x:c>
      <x:c r="I133" s="8" t="str">
        <x:v>Isolated synthetic tenant; begin from the corresponding acceptance scenario; inject only the named adverse condition.</x:v>
      </x:c>
      <x:c r="J133" s="8" t="str">
        <x:v>1. Establish the normal precondition. 2. Request an expired protocol entry; it cannot be presented as current care guidance. 3. Inspect user state, side effects, audit and any recovery queue.</x:v>
      </x:c>
      <x:c r="K133" s="8" t="str">
        <x:v>Request an expired protocol entry; it cannot be presented as current care guidance. Evidence must show the actual final state and any accountable unresolved work.</x:v>
      </x:c>
      <x:c r="L133" s="10" t="str">
        <x:v>Not run</x:v>
      </x:c>
      <x:c r="M133" s="10" t="str">
        <x:v>QA with Clinical safety lead and clinician</x:v>
      </x:c>
      <x:c r="N133" s="10" t="str"/>
      <x:c r="O133" s="10" t="str"/>
      <x:c r="P133" s="8" t="n">
        <x:f>IF(LEN(N133)&gt;0,1,0)</x:f>
        <x:v>0</x:v>
      </x:c>
    </x:row>
    <x:row r="134" ht="47.25" customHeight="1">
      <x:c r="A134" s="7" t="str">
        <x:v>TC-BR-CLIN-02-A</x:v>
      </x:c>
      <x:c r="B134" s="7" t="str">
        <x:v>BR-CLIN-02</x:v>
      </x:c>
      <x:c r="C134" s="7" t="str">
        <x:v>FR-CLIN-02</x:v>
      </x:c>
      <x:c r="D134" s="7" t="str">
        <x:v>Controlled clinical logic acceptance</x:v>
      </x:c>
      <x:c r="E134" s="7" t="str">
        <x:v>Functional</x:v>
      </x:c>
      <x:c r="F134" s="7" t="str">
        <x:v>Must</x:v>
      </x:c>
      <x:c r="G134" s="7" t="str">
        <x:v>R1</x:v>
      </x:c>
      <x:c r="H134" s="7" t="str">
        <x:v>FX-CLIN-02</x:v>
      </x:c>
      <x:c r="I134" s="7" t="str">
        <x:v>Synthetic tenant A; verified actor with intended scope; relevant pack and connector test profile active; reset fixture before execution.</x:v>
      </x:c>
      <x:c r="J134" s="7" t="str">
        <x:v>1. Load FX-CLIN-02. 2. The protocol engine evaluates reviewed decision tables; the LLM receives the decision and evidence for explanation only. 3. Capture UI/API results and stored receipt or audit evidence.</x:v>
      </x:c>
      <x:c r="K134" s="7" t="str">
        <x:v>Rephrasing a prompt does not change a protocol's decision for the same confirmed facts.</x:v>
      </x:c>
      <x:c r="L134" s="10" t="str">
        <x:v>Not run</x:v>
      </x:c>
      <x:c r="M134" s="10" t="str">
        <x:v>QA with Clinical safety lead and clinician</x:v>
      </x:c>
      <x:c r="N134" s="10" t="str"/>
      <x:c r="O134" s="10" t="str"/>
      <x:c r="P134" s="7" t="n">
        <x:f>IF(LEN(N134)&gt;0,1,0)</x:f>
        <x:v>0</x:v>
      </x:c>
    </x:row>
    <x:row r="135" ht="47.25" customHeight="1">
      <x:c r="A135" s="8" t="str">
        <x:v>TC-BR-CLIN-02-B</x:v>
      </x:c>
      <x:c r="B135" s="8" t="str">
        <x:v>BR-CLIN-02</x:v>
      </x:c>
      <x:c r="C135" s="8" t="str">
        <x:v>FR-CLIN-02</x:v>
      </x:c>
      <x:c r="D135" s="8" t="str">
        <x:v>Controlled clinical logic adverse condition</x:v>
      </x:c>
      <x:c r="E135" s="8" t="str">
        <x:v>Negative or recovery</x:v>
      </x:c>
      <x:c r="F135" s="8" t="str">
        <x:v>Must</x:v>
      </x:c>
      <x:c r="G135" s="8" t="str">
        <x:v>R1</x:v>
      </x:c>
      <x:c r="H135" s="8" t="str">
        <x:v>FX-CLIN-02-NEG</x:v>
      </x:c>
      <x:c r="I135" s="8" t="str">
        <x:v>Isolated synthetic tenant; begin from the corresponding acceptance scenario; inject only the named adverse condition.</x:v>
      </x:c>
      <x:c r="J135" s="8" t="str">
        <x:v>1. Establish the normal precondition. 2. Paraphrase identical confirmed facts; deterministic pathway action must remain unchanged. 3. Inspect user state, side effects, audit and any recovery queue.</x:v>
      </x:c>
      <x:c r="K135" s="8" t="str">
        <x:v>Paraphrase identical confirmed facts; deterministic pathway action must remain unchanged. Evidence must show the actual final state and any accountable unresolved work.</x:v>
      </x:c>
      <x:c r="L135" s="10" t="str">
        <x:v>Not run</x:v>
      </x:c>
      <x:c r="M135" s="10" t="str">
        <x:v>QA with Clinical safety lead and clinician</x:v>
      </x:c>
      <x:c r="N135" s="10" t="str"/>
      <x:c r="O135" s="10" t="str"/>
      <x:c r="P135" s="8" t="n">
        <x:f>IF(LEN(N135)&gt;0,1,0)</x:f>
        <x:v>0</x:v>
      </x:c>
    </x:row>
    <x:row r="136" ht="47.25" customHeight="1">
      <x:c r="A136" s="7" t="str">
        <x:v>TC-BR-CLIN-03-A</x:v>
      </x:c>
      <x:c r="B136" s="7" t="str">
        <x:v>BR-CLIN-03</x:v>
      </x:c>
      <x:c r="C136" s="7" t="str">
        <x:v>FR-CLIN-03</x:v>
      </x:c>
      <x:c r="D136" s="7" t="str">
        <x:v>Escalation without model dependence acceptance</x:v>
      </x:c>
      <x:c r="E136" s="7" t="str">
        <x:v>Functional</x:v>
      </x:c>
      <x:c r="F136" s="7" t="str">
        <x:v>Must</x:v>
      </x:c>
      <x:c r="G136" s="7" t="str">
        <x:v>R1</x:v>
      </x:c>
      <x:c r="H136" s="7" t="str">
        <x:v>FX-CLIN-03</x:v>
      </x:c>
      <x:c r="I136" s="7" t="str">
        <x:v>Synthetic tenant A; verified actor with intended scope; relevant pack and connector test profile active; reset fixture before execution.</x:v>
      </x:c>
      <x:c r="J136" s="7" t="str">
        <x:v>1. Load FX-CLIN-03. 2. Urgent protocol actions have a local route and contact record; provider waits cannot delay their display. 3. Capture UI/API results and stored receipt or audit evidence.</x:v>
      </x:c>
      <x:c r="K136" s="7" t="str">
        <x:v>An urgent synthetic scenario follows the configured escalation path when cloud AI and external MIS services are unavailable.</x:v>
      </x:c>
      <x:c r="L136" s="10" t="str">
        <x:v>Not run</x:v>
      </x:c>
      <x:c r="M136" s="10" t="str">
        <x:v>QA with Clinical safety lead and clinician</x:v>
      </x:c>
      <x:c r="N136" s="10" t="str"/>
      <x:c r="O136" s="10" t="str"/>
      <x:c r="P136" s="7" t="n">
        <x:f>IF(LEN(N136)&gt;0,1,0)</x:f>
        <x:v>0</x:v>
      </x:c>
    </x:row>
    <x:row r="137" ht="47.25" customHeight="1">
      <x:c r="A137" s="8" t="str">
        <x:v>TC-BR-CLIN-03-B</x:v>
      </x:c>
      <x:c r="B137" s="8" t="str">
        <x:v>BR-CLIN-03</x:v>
      </x:c>
      <x:c r="C137" s="8" t="str">
        <x:v>FR-CLIN-03</x:v>
      </x:c>
      <x:c r="D137" s="8" t="str">
        <x:v>Escalation without model dependence adverse condition</x:v>
      </x:c>
      <x:c r="E137" s="8" t="str">
        <x:v>Negative or recovery</x:v>
      </x:c>
      <x:c r="F137" s="8" t="str">
        <x:v>Must</x:v>
      </x:c>
      <x:c r="G137" s="8" t="str">
        <x:v>R1</x:v>
      </x:c>
      <x:c r="H137" s="8" t="str">
        <x:v>FX-CLIN-03-NEG</x:v>
      </x:c>
      <x:c r="I137" s="8" t="str">
        <x:v>Isolated synthetic tenant; begin from the corresponding acceptance scenario; inject only the named adverse condition.</x:v>
      </x:c>
      <x:c r="J137" s="8" t="str">
        <x:v>1. Establish the normal precondition. 2. Drop network and AI access during an urgent fixture; the approved escalation still appears. 3. Inspect user state, side effects, audit and any recovery queue.</x:v>
      </x:c>
      <x:c r="K137" s="8" t="str">
        <x:v>Drop network and AI access during an urgent fixture; the approved escalation still appears. Evidence must show the actual final state and any accountable unresolved work.</x:v>
      </x:c>
      <x:c r="L137" s="10" t="str">
        <x:v>Not run</x:v>
      </x:c>
      <x:c r="M137" s="10" t="str">
        <x:v>QA with Clinical safety lead and clinician</x:v>
      </x:c>
      <x:c r="N137" s="10" t="str"/>
      <x:c r="O137" s="10" t="str"/>
      <x:c r="P137" s="8" t="n">
        <x:f>IF(LEN(N137)&gt;0,1,0)</x:f>
        <x:v>0</x:v>
      </x:c>
    </x:row>
    <x:row r="138" ht="47.25" customHeight="1">
      <x:c r="A138" s="7" t="str">
        <x:v>TC-BR-CLIN-04-A</x:v>
      </x:c>
      <x:c r="B138" s="7" t="str">
        <x:v>BR-CLIN-04</x:v>
      </x:c>
      <x:c r="C138" s="7" t="str">
        <x:v>FR-CLIN-04</x:v>
      </x:c>
      <x:c r="D138" s="7" t="str">
        <x:v>Scope of practice acceptance</x:v>
      </x:c>
      <x:c r="E138" s="7" t="str">
        <x:v>Functional</x:v>
      </x:c>
      <x:c r="F138" s="7" t="str">
        <x:v>Must</x:v>
      </x:c>
      <x:c r="G138" s="7" t="str">
        <x:v>R1</x:v>
      </x:c>
      <x:c r="H138" s="7" t="str">
        <x:v>FX-CLIN-04</x:v>
      </x:c>
      <x:c r="I138" s="7" t="str">
        <x:v>Synthetic tenant A; verified actor with intended scope; relevant pack and connector test profile active; reset fixture before execution.</x:v>
      </x:c>
      <x:c r="J138" s="7" t="str">
        <x:v>1. Load FX-CLIN-04. 2. Clinical command policy uses verified credentials and locally approved scope, not role label alone. 3. Capture UI/API results and stored receipt or audit evidence.</x:v>
      </x:c>
      <x:c r="K138" s="7" t="str">
        <x:v>User role changes modify available clinical actions, and server-side tests reject unauthorised orders.</x:v>
      </x:c>
      <x:c r="L138" s="10" t="str">
        <x:v>Not run</x:v>
      </x:c>
      <x:c r="M138" s="10" t="str">
        <x:v>QA with Clinical safety lead and clinician</x:v>
      </x:c>
      <x:c r="N138" s="10" t="str"/>
      <x:c r="O138" s="10" t="str"/>
      <x:c r="P138" s="7" t="n">
        <x:f>IF(LEN(N138)&gt;0,1,0)</x:f>
        <x:v>0</x:v>
      </x:c>
    </x:row>
    <x:row r="139" ht="47.25" customHeight="1">
      <x:c r="A139" s="8" t="str">
        <x:v>TC-BR-CLIN-04-B</x:v>
      </x:c>
      <x:c r="B139" s="8" t="str">
        <x:v>BR-CLIN-04</x:v>
      </x:c>
      <x:c r="C139" s="8" t="str">
        <x:v>FR-CLIN-04</x:v>
      </x:c>
      <x:c r="D139" s="8" t="str">
        <x:v>Scope of practice adverse condition</x:v>
      </x:c>
      <x:c r="E139" s="8" t="str">
        <x:v>Negative or recovery</x:v>
      </x:c>
      <x:c r="F139" s="8" t="str">
        <x:v>Must</x:v>
      </x:c>
      <x:c r="G139" s="8" t="str">
        <x:v>R1</x:v>
      </x:c>
      <x:c r="H139" s="8" t="str">
        <x:v>FX-CLIN-04-NEG</x:v>
      </x:c>
      <x:c r="I139" s="8" t="str">
        <x:v>Isolated synthetic tenant; begin from the corresponding acceptance scenario; inject only the named adverse condition.</x:v>
      </x:c>
      <x:c r="J139" s="8" t="str">
        <x:v>1. Establish the normal precondition. 2. Give a generic supervisor role to an unqualified person; clinical order permissions remain absent. 3. Inspect user state, side effects, audit and any recovery queue.</x:v>
      </x:c>
      <x:c r="K139" s="8" t="str">
        <x:v>Give a generic supervisor role to an unqualified person; clinical order permissions remain absent. Evidence must show the actual final state and any accountable unresolved work.</x:v>
      </x:c>
      <x:c r="L139" s="10" t="str">
        <x:v>Not run</x:v>
      </x:c>
      <x:c r="M139" s="10" t="str">
        <x:v>QA with Clinical safety lead and clinician</x:v>
      </x:c>
      <x:c r="N139" s="10" t="str"/>
      <x:c r="O139" s="10" t="str"/>
      <x:c r="P139" s="8" t="n">
        <x:f>IF(LEN(N139)&gt;0,1,0)</x:f>
        <x:v>0</x:v>
      </x:c>
    </x:row>
    <x:row r="140" ht="47.25" customHeight="1">
      <x:c r="A140" s="7" t="str">
        <x:v>TC-BR-CLIN-05-A</x:v>
      </x:c>
      <x:c r="B140" s="7" t="str">
        <x:v>BR-CLIN-05</x:v>
      </x:c>
      <x:c r="C140" s="7" t="str">
        <x:v>FR-CLIN-05</x:v>
      </x:c>
      <x:c r="D140" s="7" t="str">
        <x:v>Review and override acceptance</x:v>
      </x:c>
      <x:c r="E140" s="7" t="str">
        <x:v>Functional</x:v>
      </x:c>
      <x:c r="F140" s="7" t="str">
        <x:v>Must</x:v>
      </x:c>
      <x:c r="G140" s="7" t="str">
        <x:v>R1</x:v>
      </x:c>
      <x:c r="H140" s="7" t="str">
        <x:v>FX-CLIN-05</x:v>
      </x:c>
      <x:c r="I140" s="7" t="str">
        <x:v>Synthetic tenant A; verified actor with intended scope; relevant pack and connector test profile active; reset fixture before execution.</x:v>
      </x:c>
      <x:c r="J140" s="7" t="str">
        <x:v>1. Load FX-CLIN-05. 2. Reviews capture accepted or rejected recommendation, reason, clinician identity and exact evidence snapshot. 3. Capture UI/API results and stored receipt or audit evidence.</x:v>
      </x:c>
      <x:c r="K140" s="7" t="str">
        <x:v>The record distinguishes the model recommendation from the human decision and identifies the responsible professional.</x:v>
      </x:c>
      <x:c r="L140" s="10" t="str">
        <x:v>Not run</x:v>
      </x:c>
      <x:c r="M140" s="10" t="str">
        <x:v>QA with Clinical safety lead and clinician</x:v>
      </x:c>
      <x:c r="N140" s="10" t="str"/>
      <x:c r="O140" s="10" t="str"/>
      <x:c r="P140" s="7" t="n">
        <x:f>IF(LEN(N140)&gt;0,1,0)</x:f>
        <x:v>0</x:v>
      </x:c>
    </x:row>
    <x:row r="141" ht="47.25" customHeight="1">
      <x:c r="A141" s="8" t="str">
        <x:v>TC-BR-CLIN-05-B</x:v>
      </x:c>
      <x:c r="B141" s="8" t="str">
        <x:v>BR-CLIN-05</x:v>
      </x:c>
      <x:c r="C141" s="8" t="str">
        <x:v>FR-CLIN-05</x:v>
      </x:c>
      <x:c r="D141" s="8" t="str">
        <x:v>Review and override adverse condition</x:v>
      </x:c>
      <x:c r="E141" s="8" t="str">
        <x:v>Negative or recovery</x:v>
      </x:c>
      <x:c r="F141" s="8" t="str">
        <x:v>Must</x:v>
      </x:c>
      <x:c r="G141" s="8" t="str">
        <x:v>R1</x:v>
      </x:c>
      <x:c r="H141" s="8" t="str">
        <x:v>FX-CLIN-05-NEG</x:v>
      </x:c>
      <x:c r="I141" s="8" t="str">
        <x:v>Isolated synthetic tenant; begin from the corresponding acceptance scenario; inject only the named adverse condition.</x:v>
      </x:c>
      <x:c r="J141" s="8" t="str">
        <x:v>1. Establish the normal precondition. 2. Record an override without a reason when policy requires one; block sign-off. 3. Inspect user state, side effects, audit and any recovery queue.</x:v>
      </x:c>
      <x:c r="K141" s="8" t="str">
        <x:v>Record an override without a reason when policy requires one; block sign-off. Evidence must show the actual final state and any accountable unresolved work.</x:v>
      </x:c>
      <x:c r="L141" s="10" t="str">
        <x:v>Not run</x:v>
      </x:c>
      <x:c r="M141" s="10" t="str">
        <x:v>QA with Clinical safety lead and clinician</x:v>
      </x:c>
      <x:c r="N141" s="10" t="str"/>
      <x:c r="O141" s="10" t="str"/>
      <x:c r="P141" s="8" t="n">
        <x:f>IF(LEN(N141)&gt;0,1,0)</x:f>
        <x:v>0</x:v>
      </x:c>
    </x:row>
    <x:row r="142" ht="47.25" customHeight="1">
      <x:c r="A142" s="7" t="str">
        <x:v>TC-BR-CLIN-06-A</x:v>
      </x:c>
      <x:c r="B142" s="7" t="str">
        <x:v>BR-CLIN-06</x:v>
      </x:c>
      <x:c r="C142" s="7" t="str">
        <x:v>FR-CLIN-06</x:v>
      </x:c>
      <x:c r="D142" s="7" t="str">
        <x:v>Model-specific quality requirements acceptance</x:v>
      </x:c>
      <x:c r="E142" s="7" t="str">
        <x:v>Functional</x:v>
      </x:c>
      <x:c r="F142" s="7" t="str">
        <x:v>Must</x:v>
      </x:c>
      <x:c r="G142" s="7" t="str">
        <x:v>R1</x:v>
      </x:c>
      <x:c r="H142" s="7" t="str">
        <x:v>FX-CLIN-06</x:v>
      </x:c>
      <x:c r="I142" s="7" t="str">
        <x:v>Synthetic tenant A; verified actor with intended scope; relevant pack and connector test profile active; reset fixture before execution.</x:v>
      </x:c>
      <x:c r="J142" s="7" t="str">
        <x:v>1. Load FX-CLIN-06. 2. Every capability has its own performance thresholds and evaluation population; administrative extraction scores are separate. 3. Capture UI/API results and stored receipt or audit evidence.</x:v>
      </x:c>
      <x:c r="K142" s="7" t="str">
        <x:v>Clinical activation requires a signed capability-specific evidence review; administrative usability results cannot substitute for clinical validation.</x:v>
      </x:c>
      <x:c r="L142" s="10" t="str">
        <x:v>Not run</x:v>
      </x:c>
      <x:c r="M142" s="10" t="str">
        <x:v>QA with Clinical safety lead and clinician</x:v>
      </x:c>
      <x:c r="N142" s="10" t="str"/>
      <x:c r="O142" s="10" t="str"/>
      <x:c r="P142" s="7" t="n">
        <x:f>IF(LEN(N142)&gt;0,1,0)</x:f>
        <x:v>0</x:v>
      </x:c>
    </x:row>
    <x:row r="143" ht="47.25" customHeight="1">
      <x:c r="A143" s="8" t="str">
        <x:v>TC-BR-CLIN-06-B</x:v>
      </x:c>
      <x:c r="B143" s="8" t="str">
        <x:v>BR-CLIN-06</x:v>
      </x:c>
      <x:c r="C143" s="8" t="str">
        <x:v>FR-CLIN-06</x:v>
      </x:c>
      <x:c r="D143" s="8" t="str">
        <x:v>Model-specific quality requirements adverse condition</x:v>
      </x:c>
      <x:c r="E143" s="8" t="str">
        <x:v>Negative or recovery</x:v>
      </x:c>
      <x:c r="F143" s="8" t="str">
        <x:v>Must</x:v>
      </x:c>
      <x:c r="G143" s="8" t="str">
        <x:v>R1</x:v>
      </x:c>
      <x:c r="H143" s="8" t="str">
        <x:v>FX-CLIN-06-NEG</x:v>
      </x:c>
      <x:c r="I143" s="8" t="str">
        <x:v>Isolated synthetic tenant; begin from the corresponding acceptance scenario; inject only the named adverse condition.</x:v>
      </x:c>
      <x:c r="J143" s="8" t="str">
        <x:v>1. Establish the normal precondition. 2. Use speech transcription accuracy as approval for a diagnostic model; reject the evidence linkage. 3. Inspect user state, side effects, audit and any recovery queue.</x:v>
      </x:c>
      <x:c r="K143" s="8" t="str">
        <x:v>Use speech transcription accuracy as approval for a diagnostic model; reject the evidence linkage. Evidence must show the actual final state and any accountable unresolved work.</x:v>
      </x:c>
      <x:c r="L143" s="10" t="str">
        <x:v>Not run</x:v>
      </x:c>
      <x:c r="M143" s="10" t="str">
        <x:v>QA with Clinical safety lead and clinician</x:v>
      </x:c>
      <x:c r="N143" s="10" t="str"/>
      <x:c r="O143" s="10" t="str"/>
      <x:c r="P143" s="8" t="n">
        <x:f>IF(LEN(N143)&gt;0,1,0)</x:f>
        <x:v>0</x:v>
      </x:c>
    </x:row>
    <x:row r="144" ht="47.25" customHeight="1">
      <x:c r="A144" s="7" t="str">
        <x:v>TC-BR-CLIN-07-A</x:v>
      </x:c>
      <x:c r="B144" s="7" t="str">
        <x:v>BR-CLIN-07</x:v>
      </x:c>
      <x:c r="C144" s="7" t="str">
        <x:v>FR-CLIN-07</x:v>
      </x:c>
      <x:c r="D144" s="7" t="str">
        <x:v>Composition safety acceptance</x:v>
      </x:c>
      <x:c r="E144" s="7" t="str">
        <x:v>Functional</x:v>
      </x:c>
      <x:c r="F144" s="7" t="str">
        <x:v>Must</x:v>
      </x:c>
      <x:c r="G144" s="7" t="str">
        <x:v>R1</x:v>
      </x:c>
      <x:c r="H144" s="7" t="str">
        <x:v>FX-CLIN-07</x:v>
      </x:c>
      <x:c r="I144" s="7" t="str">
        <x:v>Synthetic tenant A; verified actor with intended scope; relevant pack and connector test profile active; reset fixture before execution.</x:v>
      </x:c>
      <x:c r="J144" s="7" t="str">
        <x:v>1. Load FX-CLIN-07. 2. Composition review evaluates joint workflow hazards, missing input handling and disagreement rules. 3. Capture UI/API results and stored receipt or audit evidence.</x:v>
      </x:c>
      <x:c r="K144" s="7" t="str">
        <x:v>The activated workflow has a reviewed composition and tested conflict scenarios; unapproved combinations are unavailable.</x:v>
      </x:c>
      <x:c r="L144" s="10" t="str">
        <x:v>Not run</x:v>
      </x:c>
      <x:c r="M144" s="10" t="str">
        <x:v>QA with Clinical safety lead and clinician</x:v>
      </x:c>
      <x:c r="N144" s="10" t="str"/>
      <x:c r="O144" s="10" t="str"/>
      <x:c r="P144" s="7" t="n">
        <x:f>IF(LEN(N144)&gt;0,1,0)</x:f>
        <x:v>0</x:v>
      </x:c>
    </x:row>
    <x:row r="145" ht="47.25" customHeight="1">
      <x:c r="A145" s="8" t="str">
        <x:v>TC-BR-CLIN-07-B</x:v>
      </x:c>
      <x:c r="B145" s="8" t="str">
        <x:v>BR-CLIN-07</x:v>
      </x:c>
      <x:c r="C145" s="8" t="str">
        <x:v>FR-CLIN-07</x:v>
      </x:c>
      <x:c r="D145" s="8" t="str">
        <x:v>Composition safety adverse condition</x:v>
      </x:c>
      <x:c r="E145" s="8" t="str">
        <x:v>Negative or recovery</x:v>
      </x:c>
      <x:c r="F145" s="8" t="str">
        <x:v>Must</x:v>
      </x:c>
      <x:c r="G145" s="8" t="str">
        <x:v>R1</x:v>
      </x:c>
      <x:c r="H145" s="8" t="str">
        <x:v>FX-CLIN-07-NEG</x:v>
      </x:c>
      <x:c r="I145" s="8" t="str">
        <x:v>Isolated synthetic tenant; begin from the corresponding acceptance scenario; inject only the named adverse condition.</x:v>
      </x:c>
      <x:c r="J145" s="8" t="str">
        <x:v>1. Establish the normal precondition. 2. Combine two individually approved models without approved composition; no joint recommendation may activate. 3. Inspect user state, side effects, audit and any recovery queue.</x:v>
      </x:c>
      <x:c r="K145" s="8" t="str">
        <x:v>Combine two individually approved models without approved composition; no joint recommendation may activate. Evidence must show the actual final state and any accountable unresolved work.</x:v>
      </x:c>
      <x:c r="L145" s="10" t="str">
        <x:v>Not run</x:v>
      </x:c>
      <x:c r="M145" s="10" t="str">
        <x:v>QA with Clinical safety lead and clinician</x:v>
      </x:c>
      <x:c r="N145" s="10" t="str"/>
      <x:c r="O145" s="10" t="str"/>
      <x:c r="P145" s="8" t="n">
        <x:f>IF(LEN(N145)&gt;0,1,0)</x:f>
        <x:v>0</x:v>
      </x:c>
    </x:row>
    <x:row r="146" ht="47.25" customHeight="1">
      <x:c r="A146" s="7" t="str">
        <x:v>TC-BR-CLIN-08-A</x:v>
      </x:c>
      <x:c r="B146" s="7" t="str">
        <x:v>BR-CLIN-08</x:v>
      </x:c>
      <x:c r="C146" s="7" t="str">
        <x:v>FR-CLIN-08</x:v>
      </x:c>
      <x:c r="D146" s="7" t="str">
        <x:v>Harm reporting and review acceptance</x:v>
      </x:c>
      <x:c r="E146" s="7" t="str">
        <x:v>Functional</x:v>
      </x:c>
      <x:c r="F146" s="7" t="str">
        <x:v>Must</x:v>
      </x:c>
      <x:c r="G146" s="7" t="str">
        <x:v>R1</x:v>
      </x:c>
      <x:c r="H146" s="7" t="str">
        <x:v>FX-CLIN-08</x:v>
      </x:c>
      <x:c r="I146" s="7" t="str">
        <x:v>Synthetic tenant A; verified actor with intended scope; relevant pack and connector test profile active; reset fixture before execution.</x:v>
      </x:c>
      <x:c r="J146" s="7" t="str">
        <x:v>1. Load FX-CLIN-08. 2. Safety case intake is available from the encounter and creates containment and follow-up assignments. 3. Capture UI/API results and stored receipt or audit evidence.</x:v>
      </x:c>
      <x:c r="K146" s="7" t="str">
        <x:v>A safety report creates a visible case, preserves relevant versions and can initiate a capability hold and affected-case review.</x:v>
      </x:c>
      <x:c r="L146" s="10" t="str">
        <x:v>Not run</x:v>
      </x:c>
      <x:c r="M146" s="10" t="str">
        <x:v>QA with Clinical safety lead and clinician</x:v>
      </x:c>
      <x:c r="N146" s="10" t="str"/>
      <x:c r="O146" s="10" t="str"/>
      <x:c r="P146" s="7" t="n">
        <x:f>IF(LEN(N146)&gt;0,1,0)</x:f>
        <x:v>0</x:v>
      </x:c>
    </x:row>
    <x:row r="147" ht="47.25" customHeight="1">
      <x:c r="A147" s="8" t="str">
        <x:v>TC-BR-CLIN-08-B</x:v>
      </x:c>
      <x:c r="B147" s="8" t="str">
        <x:v>BR-CLIN-08</x:v>
      </x:c>
      <x:c r="C147" s="8" t="str">
        <x:v>FR-CLIN-08</x:v>
      </x:c>
      <x:c r="D147" s="8" t="str">
        <x:v>Harm reporting and review adverse condition</x:v>
      </x:c>
      <x:c r="E147" s="8" t="str">
        <x:v>Negative or recovery</x:v>
      </x:c>
      <x:c r="F147" s="8" t="str">
        <x:v>Must</x:v>
      </x:c>
      <x:c r="G147" s="8" t="str">
        <x:v>R1</x:v>
      </x:c>
      <x:c r="H147" s="8" t="str">
        <x:v>FX-CLIN-08-NEG</x:v>
      </x:c>
      <x:c r="I147" s="8" t="str">
        <x:v>Isolated synthetic tenant; begin from the corresponding acceptance scenario; inject only the named adverse condition.</x:v>
      </x:c>
      <x:c r="J147" s="8" t="str">
        <x:v>1. Establish the normal precondition. 2. File a harm report while the provider is down; preserve the report and show an accountable owner. 3. Inspect user state, side effects, audit and any recovery queue.</x:v>
      </x:c>
      <x:c r="K147" s="8" t="str">
        <x:v>File a harm report while the provider is down; preserve the report and show an accountable owner. Evidence must show the actual final state and any accountable unresolved work.</x:v>
      </x:c>
      <x:c r="L147" s="10" t="str">
        <x:v>Not run</x:v>
      </x:c>
      <x:c r="M147" s="10" t="str">
        <x:v>QA with Clinical safety lead and clinician</x:v>
      </x:c>
      <x:c r="N147" s="10" t="str"/>
      <x:c r="O147" s="10" t="str"/>
      <x:c r="P147" s="8" t="n">
        <x:f>IF(LEN(N147)&gt;0,1,0)</x:f>
        <x:v>0</x:v>
      </x:c>
    </x:row>
    <x:row r="148" ht="47.25" customHeight="1">
      <x:c r="A148" s="7" t="str">
        <x:v>TC-BR-INT-01-A</x:v>
      </x:c>
      <x:c r="B148" s="7" t="str">
        <x:v>BR-INT-01</x:v>
      </x:c>
      <x:c r="C148" s="7" t="str">
        <x:v>FR-INT-01</x:v>
      </x:c>
      <x:c r="D148" s="7" t="str">
        <x:v>Integration readiness contract acceptance</x:v>
      </x:c>
      <x:c r="E148" s="7" t="str">
        <x:v>Functional</x:v>
      </x:c>
      <x:c r="F148" s="7" t="str">
        <x:v>Must</x:v>
      </x:c>
      <x:c r="G148" s="7" t="str">
        <x:v>R1</x:v>
      </x:c>
      <x:c r="H148" s="7" t="str">
        <x:v>FX-INT-01</x:v>
      </x:c>
      <x:c r="I148" s="7" t="str">
        <x:v>Synthetic tenant A; verified actor with intended scope; relevant pack and connector test profile active; reset fixture before execution.</x:v>
      </x:c>
      <x:c r="J148" s="7" t="str">
        <x:v>1. Load FX-INT-01. 2. Connector activation requires owner agreement, allowed operations, exact environment, receipt examples and support contact. 3. Capture UI/API results and stored receipt or audit evidence.</x:v>
      </x:c>
      <x:c r="K148" s="7" t="str">
        <x:v>A connector cannot be labelled live until the receiving owner has accepted its tested scope and production access is enabled.</x:v>
      </x:c>
      <x:c r="L148" s="10" t="str">
        <x:v>Not run</x:v>
      </x:c>
      <x:c r="M148" s="10" t="str">
        <x:v>QA with Integration owner</x:v>
      </x:c>
      <x:c r="N148" s="10" t="str"/>
      <x:c r="O148" s="10" t="str"/>
      <x:c r="P148" s="7" t="n">
        <x:f>IF(LEN(N148)&gt;0,1,0)</x:f>
        <x:v>0</x:v>
      </x:c>
    </x:row>
    <x:row r="149" ht="47.25" customHeight="1">
      <x:c r="A149" s="8" t="str">
        <x:v>TC-BR-INT-01-B</x:v>
      </x:c>
      <x:c r="B149" s="8" t="str">
        <x:v>BR-INT-01</x:v>
      </x:c>
      <x:c r="C149" s="8" t="str">
        <x:v>FR-INT-01</x:v>
      </x:c>
      <x:c r="D149" s="8" t="str">
        <x:v>Integration readiness contract adverse condition</x:v>
      </x:c>
      <x:c r="E149" s="8" t="str">
        <x:v>Negative or recovery</x:v>
      </x:c>
      <x:c r="F149" s="8" t="str">
        <x:v>Must</x:v>
      </x:c>
      <x:c r="G149" s="8" t="str">
        <x:v>R1</x:v>
      </x:c>
      <x:c r="H149" s="8" t="str">
        <x:v>FX-INT-01-NEG</x:v>
      </x:c>
      <x:c r="I149" s="8" t="str">
        <x:v>Isolated synthetic tenant; begin from the corresponding acceptance scenario; inject only the named adverse condition.</x:v>
      </x:c>
      <x:c r="J149" s="8" t="str">
        <x:v>1. Establish the normal precondition. 2. Label a connector live using only a test endpoint; readiness status must remain test-only. 3. Inspect user state, side effects, audit and any recovery queue.</x:v>
      </x:c>
      <x:c r="K149" s="8" t="str">
        <x:v>Label a connector live using only a test endpoint; readiness status must remain test-only. Evidence must show the actual final state and any accountable unresolved work.</x:v>
      </x:c>
      <x:c r="L149" s="10" t="str">
        <x:v>Not run</x:v>
      </x:c>
      <x:c r="M149" s="10" t="str">
        <x:v>QA with Integration owner</x:v>
      </x:c>
      <x:c r="N149" s="10" t="str"/>
      <x:c r="O149" s="10" t="str"/>
      <x:c r="P149" s="8" t="n">
        <x:f>IF(LEN(N149)&gt;0,1,0)</x:f>
        <x:v>0</x:v>
      </x:c>
    </x:row>
    <x:row r="150" ht="47.25" customHeight="1">
      <x:c r="A150" s="7" t="str">
        <x:v>TC-BR-INT-02-A</x:v>
      </x:c>
      <x:c r="B150" s="7" t="str">
        <x:v>BR-INT-02</x:v>
      </x:c>
      <x:c r="C150" s="7" t="str">
        <x:v>FR-INT-02</x:v>
      </x:c>
      <x:c r="D150" s="7" t="str">
        <x:v>Independent read and write permissions acceptance</x:v>
      </x:c>
      <x:c r="E150" s="7" t="str">
        <x:v>Functional</x:v>
      </x:c>
      <x:c r="F150" s="7" t="str">
        <x:v>Must</x:v>
      </x:c>
      <x:c r="G150" s="7" t="str">
        <x:v>R1</x:v>
      </x:c>
      <x:c r="H150" s="7" t="str">
        <x:v>FX-INT-02</x:v>
      </x:c>
      <x:c r="I150" s="7" t="str">
        <x:v>Synthetic tenant A; verified actor with intended scope; relevant pack and connector test profile active; reset fixture before execution.</x:v>
      </x:c>
      <x:c r="J150" s="7" t="str">
        <x:v>1. Load FX-INT-02. 2. The operation allowlist independently grants search, read, create, amend, delete, export and status lookup. 3. Capture UI/API results and stored receipt or audit evidence.</x:v>
      </x:c>
      <x:c r="K150" s="7" t="str">
        <x:v>A read-only connector exposes no active write path and clearly states when programme updates require a separate process.</x:v>
      </x:c>
      <x:c r="L150" s="10" t="str">
        <x:v>Not run</x:v>
      </x:c>
      <x:c r="M150" s="10" t="str">
        <x:v>QA with Integration owner</x:v>
      </x:c>
      <x:c r="N150" s="10" t="str"/>
      <x:c r="O150" s="10" t="str"/>
      <x:c r="P150" s="7" t="n">
        <x:f>IF(LEN(N150)&gt;0,1,0)</x:f>
        <x:v>0</x:v>
      </x:c>
    </x:row>
    <x:row r="151" ht="47.25" customHeight="1">
      <x:c r="A151" s="8" t="str">
        <x:v>TC-BR-INT-02-B</x:v>
      </x:c>
      <x:c r="B151" s="8" t="str">
        <x:v>BR-INT-02</x:v>
      </x:c>
      <x:c r="C151" s="8" t="str">
        <x:v>FR-INT-02</x:v>
      </x:c>
      <x:c r="D151" s="8" t="str">
        <x:v>Independent read and write permissions adverse condition</x:v>
      </x:c>
      <x:c r="E151" s="8" t="str">
        <x:v>Negative or recovery</x:v>
      </x:c>
      <x:c r="F151" s="8" t="str">
        <x:v>Must</x:v>
      </x:c>
      <x:c r="G151" s="8" t="str">
        <x:v>R1</x:v>
      </x:c>
      <x:c r="H151" s="8" t="str">
        <x:v>FX-INT-02-NEG</x:v>
      </x:c>
      <x:c r="I151" s="8" t="str">
        <x:v>Isolated synthetic tenant; begin from the corresponding acceptance scenario; inject only the named adverse condition.</x:v>
      </x:c>
      <x:c r="J151" s="8" t="str">
        <x:v>1. Establish the normal precondition. 2. Use a read-only connector to submit an encounter; block before network dispatch. 3. Inspect user state, side effects, audit and any recovery queue.</x:v>
      </x:c>
      <x:c r="K151" s="8" t="str">
        <x:v>Use a read-only connector to submit an encounter; block before network dispatch. Evidence must show the actual final state and any accountable unresolved work.</x:v>
      </x:c>
      <x:c r="L151" s="10" t="str">
        <x:v>Not run</x:v>
      </x:c>
      <x:c r="M151" s="10" t="str">
        <x:v>QA with Integration owner</x:v>
      </x:c>
      <x:c r="N151" s="10" t="str"/>
      <x:c r="O151" s="10" t="str"/>
      <x:c r="P151" s="8" t="n">
        <x:f>IF(LEN(N151)&gt;0,1,0)</x:f>
        <x:v>0</x:v>
      </x:c>
    </x:row>
    <x:row r="152" ht="47.25" customHeight="1">
      <x:c r="A152" s="7" t="str">
        <x:v>TC-BR-INT-03-A</x:v>
      </x:c>
      <x:c r="B152" s="7" t="str">
        <x:v>BR-INT-03</x:v>
      </x:c>
      <x:c r="C152" s="7" t="str">
        <x:v>FR-INT-03</x:v>
      </x:c>
      <x:c r="D152" s="7" t="str">
        <x:v>Confirmed submission receipts acceptance</x:v>
      </x:c>
      <x:c r="E152" s="7" t="str">
        <x:v>Functional</x:v>
      </x:c>
      <x:c r="F152" s="7" t="str">
        <x:v>Must</x:v>
      </x:c>
      <x:c r="G152" s="7" t="str">
        <x:v>R1</x:v>
      </x:c>
      <x:c r="H152" s="7" t="str">
        <x:v>FX-INT-03</x:v>
      </x:c>
      <x:c r="I152" s="7" t="str">
        <x:v>Synthetic tenant A; verified actor with intended scope; relevant pack and connector test profile active; reset fixture before execution.</x:v>
      </x:c>
      <x:c r="J152" s="7" t="str">
        <x:v>1. Load FX-INT-03. 2. Acceptance requires a verified destination business receipt linked to payload revision and action ID. 3. Capture UI/API results and stored receipt or audit evidence.</x:v>
      </x:c>
      <x:c r="K152" s="7" t="str">
        <x:v>A response containing a business rejection is shown as rejected even when the network request technically succeeded.</x:v>
      </x:c>
      <x:c r="L152" s="10" t="str">
        <x:v>Not run</x:v>
      </x:c>
      <x:c r="M152" s="10" t="str">
        <x:v>QA with Integration owner</x:v>
      </x:c>
      <x:c r="N152" s="10" t="str"/>
      <x:c r="O152" s="10" t="str"/>
      <x:c r="P152" s="7" t="n">
        <x:f>IF(LEN(N152)&gt;0,1,0)</x:f>
        <x:v>0</x:v>
      </x:c>
    </x:row>
    <x:row r="153" ht="47.25" customHeight="1">
      <x:c r="A153" s="8" t="str">
        <x:v>TC-BR-INT-03-B</x:v>
      </x:c>
      <x:c r="B153" s="8" t="str">
        <x:v>BR-INT-03</x:v>
      </x:c>
      <x:c r="C153" s="8" t="str">
        <x:v>FR-INT-03</x:v>
      </x:c>
      <x:c r="D153" s="8" t="str">
        <x:v>Confirmed submission receipts adverse condition</x:v>
      </x:c>
      <x:c r="E153" s="8" t="str">
        <x:v>Negative or recovery</x:v>
      </x:c>
      <x:c r="F153" s="8" t="str">
        <x:v>Must</x:v>
      </x:c>
      <x:c r="G153" s="8" t="str">
        <x:v>R1</x:v>
      </x:c>
      <x:c r="H153" s="8" t="str">
        <x:v>FX-INT-03-NEG</x:v>
      </x:c>
      <x:c r="I153" s="8" t="str">
        <x:v>Isolated synthetic tenant; begin from the corresponding acceptance scenario; inject only the named adverse condition.</x:v>
      </x:c>
      <x:c r="J153" s="8" t="str">
        <x:v>1. Establish the normal precondition. 2. Return HTTP 200 with a business rejection; record rejected rather than accepted. 3. Inspect user state, side effects, audit and any recovery queue.</x:v>
      </x:c>
      <x:c r="K153" s="8" t="str">
        <x:v>Return HTTP 200 with a business rejection; record rejected rather than accepted. Evidence must show the actual final state and any accountable unresolved work.</x:v>
      </x:c>
      <x:c r="L153" s="10" t="str">
        <x:v>Not run</x:v>
      </x:c>
      <x:c r="M153" s="10" t="str">
        <x:v>QA with Integration owner</x:v>
      </x:c>
      <x:c r="N153" s="10" t="str"/>
      <x:c r="O153" s="10" t="str"/>
      <x:c r="P153" s="8" t="n">
        <x:f>IF(LEN(N153)&gt;0,1,0)</x:f>
        <x:v>0</x:v>
      </x:c>
    </x:row>
    <x:row r="154" ht="47.25" customHeight="1">
      <x:c r="A154" s="7" t="str">
        <x:v>TC-BR-INT-04-A</x:v>
      </x:c>
      <x:c r="B154" s="7" t="str">
        <x:v>BR-INT-04</x:v>
      </x:c>
      <x:c r="C154" s="7" t="str">
        <x:v>FR-INT-04</x:v>
      </x:c>
      <x:c r="D154" s="7" t="str">
        <x:v>Duplicate prevention and uncertain outcomes acceptance</x:v>
      </x:c>
      <x:c r="E154" s="7" t="str">
        <x:v>Functional</x:v>
      </x:c>
      <x:c r="F154" s="7" t="str">
        <x:v>Must</x:v>
      </x:c>
      <x:c r="G154" s="7" t="str">
        <x:v>R1</x:v>
      </x:c>
      <x:c r="H154" s="7" t="str">
        <x:v>FX-INT-04</x:v>
      </x:c>
      <x:c r="I154" s="7" t="str">
        <x:v>Synthetic tenant A; verified actor with intended scope; relevant pack and connector test profile active; reset fixture before execution.</x:v>
      </x:c>
      <x:c r="J154" s="7" t="str">
        <x:v>1. Load FX-INT-04. 2. Use a persistent logical action ID and destination idempotency mechanism; uncertain outcomes enter reconciliation. 3. Capture UI/API results and stored receipt or audit evidence.</x:v>
      </x:c>
      <x:c r="K154" s="7" t="str">
        <x:v>A timeout after external acceptance does not create a second patient or activity; an unverifiable outcome remains visibly unresolved.</x:v>
      </x:c>
      <x:c r="L154" s="10" t="str">
        <x:v>Not run</x:v>
      </x:c>
      <x:c r="M154" s="10" t="str">
        <x:v>QA with Integration owner</x:v>
      </x:c>
      <x:c r="N154" s="10" t="str"/>
      <x:c r="O154" s="10" t="str"/>
      <x:c r="P154" s="7" t="n">
        <x:f>IF(LEN(N154)&gt;0,1,0)</x:f>
        <x:v>0</x:v>
      </x:c>
    </x:row>
    <x:row r="155" ht="47.25" customHeight="1">
      <x:c r="A155" s="8" t="str">
        <x:v>TC-BR-INT-04-B</x:v>
      </x:c>
      <x:c r="B155" s="8" t="str">
        <x:v>BR-INT-04</x:v>
      </x:c>
      <x:c r="C155" s="8" t="str">
        <x:v>FR-INT-04</x:v>
      </x:c>
      <x:c r="D155" s="8" t="str">
        <x:v>Duplicate prevention and uncertain outcomes adverse condition</x:v>
      </x:c>
      <x:c r="E155" s="8" t="str">
        <x:v>Negative or recovery</x:v>
      </x:c>
      <x:c r="F155" s="8" t="str">
        <x:v>Must</x:v>
      </x:c>
      <x:c r="G155" s="8" t="str">
        <x:v>R1</x:v>
      </x:c>
      <x:c r="H155" s="8" t="str">
        <x:v>FX-INT-04-NEG</x:v>
      </x:c>
      <x:c r="I155" s="8" t="str">
        <x:v>Isolated synthetic tenant; begin from the corresponding acceptance scenario; inject only the named adverse condition.</x:v>
      </x:c>
      <x:c r="J155" s="8" t="str">
        <x:v>1. Establish the normal precondition. 2. Simulate acceptance followed by a network timeout; retry cannot create a duplicate event. 3. Inspect user state, side effects, audit and any recovery queue.</x:v>
      </x:c>
      <x:c r="K155" s="8" t="str">
        <x:v>Simulate acceptance followed by a network timeout; retry cannot create a duplicate event. Evidence must show the actual final state and any accountable unresolved work.</x:v>
      </x:c>
      <x:c r="L155" s="10" t="str">
        <x:v>Not run</x:v>
      </x:c>
      <x:c r="M155" s="10" t="str">
        <x:v>QA with Integration owner</x:v>
      </x:c>
      <x:c r="N155" s="10" t="str"/>
      <x:c r="O155" s="10" t="str"/>
      <x:c r="P155" s="8" t="n">
        <x:f>IF(LEN(N155)&gt;0,1,0)</x:f>
        <x:v>0</x:v>
      </x:c>
    </x:row>
    <x:row r="156" ht="47.25" customHeight="1">
      <x:c r="A156" s="7" t="str">
        <x:v>TC-BR-INT-05-A</x:v>
      </x:c>
      <x:c r="B156" s="7" t="str">
        <x:v>BR-INT-05</x:v>
      </x:c>
      <x:c r="C156" s="7" t="str">
        <x:v>FR-INT-05</x:v>
      </x:c>
      <x:c r="D156" s="7" t="str">
        <x:v>Partial completion across systems acceptance</x:v>
      </x:c>
      <x:c r="E156" s="7" t="str">
        <x:v>Functional</x:v>
      </x:c>
      <x:c r="F156" s="7" t="str">
        <x:v>Must</x:v>
      </x:c>
      <x:c r="G156" s="7" t="str">
        <x:v>R1</x:v>
      </x:c>
      <x:c r="H156" s="7" t="str">
        <x:v>FX-INT-05</x:v>
      </x:c>
      <x:c r="I156" s="7" t="str">
        <x:v>Synthetic tenant A; verified actor with intended scope; relevant pack and connector test profile active; reset fixture before execution.</x:v>
      </x:c>
      <x:c r="J156" s="7" t="str">
        <x:v>1. Load FX-INT-05. 2. Each external action has its own receipt and retry policy; successful actions remain accepted during another failure. 3. Capture UI/API results and stored receipt or audit evidence.</x:v>
      </x:c>
      <x:c r="K156" s="7" t="str">
        <x:v>If one of two writes succeeds, the success receipt is preserved and only the failed or uncertain destination is retried.</x:v>
      </x:c>
      <x:c r="L156" s="10" t="str">
        <x:v>Not run</x:v>
      </x:c>
      <x:c r="M156" s="10" t="str">
        <x:v>QA with Integration owner</x:v>
      </x:c>
      <x:c r="N156" s="10" t="str"/>
      <x:c r="O156" s="10" t="str"/>
      <x:c r="P156" s="7" t="n">
        <x:f>IF(LEN(N156)&gt;0,1,0)</x:f>
        <x:v>0</x:v>
      </x:c>
    </x:row>
    <x:row r="157" ht="47.25" customHeight="1">
      <x:c r="A157" s="8" t="str">
        <x:v>TC-BR-INT-05-B</x:v>
      </x:c>
      <x:c r="B157" s="8" t="str">
        <x:v>BR-INT-05</x:v>
      </x:c>
      <x:c r="C157" s="8" t="str">
        <x:v>FR-INT-05</x:v>
      </x:c>
      <x:c r="D157" s="8" t="str">
        <x:v>Partial completion across systems adverse condition</x:v>
      </x:c>
      <x:c r="E157" s="8" t="str">
        <x:v>Negative or recovery</x:v>
      </x:c>
      <x:c r="F157" s="8" t="str">
        <x:v>Must</x:v>
      </x:c>
      <x:c r="G157" s="8" t="str">
        <x:v>R1</x:v>
      </x:c>
      <x:c r="H157" s="8" t="str">
        <x:v>FX-INT-05-NEG</x:v>
      </x:c>
      <x:c r="I157" s="8" t="str">
        <x:v>Isolated synthetic tenant; begin from the corresponding acceptance scenario; inject only the named adverse condition.</x:v>
      </x:c>
      <x:c r="J157" s="8" t="str">
        <x:v>1. Establish the normal precondition. 2. Destination A succeeds and B fails; recovery must not undo or resend A. 3. Inspect user state, side effects, audit and any recovery queue.</x:v>
      </x:c>
      <x:c r="K157" s="8" t="str">
        <x:v>Destination A succeeds and B fails; recovery must not undo or resend A. Evidence must show the actual final state and any accountable unresolved work.</x:v>
      </x:c>
      <x:c r="L157" s="10" t="str">
        <x:v>Not run</x:v>
      </x:c>
      <x:c r="M157" s="10" t="str">
        <x:v>QA with Integration owner</x:v>
      </x:c>
      <x:c r="N157" s="10" t="str"/>
      <x:c r="O157" s="10" t="str"/>
      <x:c r="P157" s="8" t="n">
        <x:f>IF(LEN(N157)&gt;0,1,0)</x:f>
        <x:v>0</x:v>
      </x:c>
    </x:row>
    <x:row r="158" ht="47.25" customHeight="1">
      <x:c r="A158" s="7" t="str">
        <x:v>TC-BR-INT-06-A</x:v>
      </x:c>
      <x:c r="B158" s="7" t="str">
        <x:v>BR-INT-06</x:v>
      </x:c>
      <x:c r="C158" s="7" t="str">
        <x:v>FR-INT-06</x:v>
      </x:c>
      <x:c r="D158" s="7" t="str">
        <x:v>Inbound changes and reconciliation acceptance</x:v>
      </x:c>
      <x:c r="E158" s="7" t="str">
        <x:v>Functional</x:v>
      </x:c>
      <x:c r="F158" s="7" t="str">
        <x:v>Must</x:v>
      </x:c>
      <x:c r="G158" s="7" t="str">
        <x:v>R1</x:v>
      </x:c>
      <x:c r="H158" s="7" t="str">
        <x:v>FX-INT-06</x:v>
      </x:c>
      <x:c r="I158" s="7" t="str">
        <x:v>Synthetic tenant A; verified actor with intended scope; relevant pack and connector test profile active; reset fixture before execution.</x:v>
      </x:c>
      <x:c r="J158" s="7" t="str">
        <x:v>1. Load FX-INT-06. 2. Inbound updates retain source version and effective time; conflicts produce a review record against local pending changes. 3. Capture UI/API results and stored receipt or audit evidence.</x:v>
      </x:c>
      <x:c r="K158" s="7" t="str">
        <x:v>An external status change does not silently discard an unsynchronised local correction, and the responsible reviewer sees both.</x:v>
      </x:c>
      <x:c r="L158" s="10" t="str">
        <x:v>Not run</x:v>
      </x:c>
      <x:c r="M158" s="10" t="str">
        <x:v>QA with Integration owner</x:v>
      </x:c>
      <x:c r="N158" s="10" t="str"/>
      <x:c r="O158" s="10" t="str"/>
      <x:c r="P158" s="7" t="n">
        <x:f>IF(LEN(N158)&gt;0,1,0)</x:f>
        <x:v>0</x:v>
      </x:c>
    </x:row>
    <x:row r="159" ht="47.25" customHeight="1">
      <x:c r="A159" s="8" t="str">
        <x:v>TC-BR-INT-06-B</x:v>
      </x:c>
      <x:c r="B159" s="8" t="str">
        <x:v>BR-INT-06</x:v>
      </x:c>
      <x:c r="C159" s="8" t="str">
        <x:v>FR-INT-06</x:v>
      </x:c>
      <x:c r="D159" s="8" t="str">
        <x:v>Inbound changes and reconciliation adverse condition</x:v>
      </x:c>
      <x:c r="E159" s="8" t="str">
        <x:v>Negative or recovery</x:v>
      </x:c>
      <x:c r="F159" s="8" t="str">
        <x:v>Must</x:v>
      </x:c>
      <x:c r="G159" s="8" t="str">
        <x:v>R1</x:v>
      </x:c>
      <x:c r="H159" s="8" t="str">
        <x:v>FX-INT-06-NEG</x:v>
      </x:c>
      <x:c r="I159" s="8" t="str">
        <x:v>Isolated synthetic tenant; begin from the corresponding acceptance scenario; inject only the named adverse condition.</x:v>
      </x:c>
      <x:c r="J159" s="8" t="str">
        <x:v>1. Establish the normal precondition. 2. Receive an older external update after a local correction; do not overwrite the new revision. 3. Inspect user state, side effects, audit and any recovery queue.</x:v>
      </x:c>
      <x:c r="K159" s="8" t="str">
        <x:v>Receive an older external update after a local correction; do not overwrite the new revision. Evidence must show the actual final state and any accountable unresolved work.</x:v>
      </x:c>
      <x:c r="L159" s="10" t="str">
        <x:v>Not run</x:v>
      </x:c>
      <x:c r="M159" s="10" t="str">
        <x:v>QA with Integration owner</x:v>
      </x:c>
      <x:c r="N159" s="10" t="str"/>
      <x:c r="O159" s="10" t="str"/>
      <x:c r="P159" s="8" t="n">
        <x:f>IF(LEN(N159)&gt;0,1,0)</x:f>
        <x:v>0</x:v>
      </x:c>
    </x:row>
    <x:row r="160" ht="47.25" customHeight="1">
      <x:c r="A160" s="7" t="str">
        <x:v>TC-BR-INT-07-A</x:v>
      </x:c>
      <x:c r="B160" s="7" t="str">
        <x:v>BR-INT-07</x:v>
      </x:c>
      <x:c r="C160" s="7" t="str">
        <x:v>FR-INT-07</x:v>
      </x:c>
      <x:c r="D160" s="7" t="str">
        <x:v>Schema and mapping change control acceptance</x:v>
      </x:c>
      <x:c r="E160" s="7" t="str">
        <x:v>Functional</x:v>
      </x:c>
      <x:c r="F160" s="7" t="str">
        <x:v>Must</x:v>
      </x:c>
      <x:c r="G160" s="7" t="str">
        <x:v>R1</x:v>
      </x:c>
      <x:c r="H160" s="7" t="str">
        <x:v>FX-INT-07</x:v>
      </x:c>
      <x:c r="I160" s="7" t="str">
        <x:v>Synthetic tenant A; verified actor with intended scope; relevant pack and connector test profile active; reset fixture before execution.</x:v>
      </x:c>
      <x:c r="J160" s="7" t="str">
        <x:v>1. Load FX-INT-07. 2. Schema upgrades validate fixtures and pending payload compatibility before activation; incompatible work pauses visibly. 3. Capture UI/API results and stored receipt or audit evidence.</x:v>
      </x:c>
      <x:c r="K160" s="7" t="str">
        <x:v>A removed mandatory destination field causes a controlled connector exception, not silent data loss or guessed replacement values.</x:v>
      </x:c>
      <x:c r="L160" s="10" t="str">
        <x:v>Not run</x:v>
      </x:c>
      <x:c r="M160" s="10" t="str">
        <x:v>QA with Integration owner</x:v>
      </x:c>
      <x:c r="N160" s="10" t="str"/>
      <x:c r="O160" s="10" t="str"/>
      <x:c r="P160" s="7" t="n">
        <x:f>IF(LEN(N160)&gt;0,1,0)</x:f>
        <x:v>0</x:v>
      </x:c>
    </x:row>
    <x:row r="161" ht="47.25" customHeight="1">
      <x:c r="A161" s="8" t="str">
        <x:v>TC-BR-INT-07-B</x:v>
      </x:c>
      <x:c r="B161" s="8" t="str">
        <x:v>BR-INT-07</x:v>
      </x:c>
      <x:c r="C161" s="8" t="str">
        <x:v>FR-INT-07</x:v>
      </x:c>
      <x:c r="D161" s="8" t="str">
        <x:v>Schema and mapping change control adverse condition</x:v>
      </x:c>
      <x:c r="E161" s="8" t="str">
        <x:v>Negative or recovery</x:v>
      </x:c>
      <x:c r="F161" s="8" t="str">
        <x:v>Must</x:v>
      </x:c>
      <x:c r="G161" s="8" t="str">
        <x:v>R1</x:v>
      </x:c>
      <x:c r="H161" s="8" t="str">
        <x:v>FX-INT-07-NEG</x:v>
      </x:c>
      <x:c r="I161" s="8" t="str">
        <x:v>Isolated synthetic tenant; begin from the corresponding acceptance scenario; inject only the named adverse condition.</x:v>
      </x:c>
      <x:c r="J161" s="8" t="str">
        <x:v>1. Establish the normal precondition. 2. Remove a required field upstream; never invent its value to keep submissions flowing. 3. Inspect user state, side effects, audit and any recovery queue.</x:v>
      </x:c>
      <x:c r="K161" s="8" t="str">
        <x:v>Remove a required field upstream; never invent its value to keep submissions flowing. Evidence must show the actual final state and any accountable unresolved work.</x:v>
      </x:c>
      <x:c r="L161" s="10" t="str">
        <x:v>Not run</x:v>
      </x:c>
      <x:c r="M161" s="10" t="str">
        <x:v>QA with Integration owner</x:v>
      </x:c>
      <x:c r="N161" s="10" t="str"/>
      <x:c r="O161" s="10" t="str"/>
      <x:c r="P161" s="8" t="n">
        <x:f>IF(LEN(N161)&gt;0,1,0)</x:f>
        <x:v>0</x:v>
      </x:c>
    </x:row>
    <x:row r="162" ht="47.25" customHeight="1">
      <x:c r="A162" s="7" t="str">
        <x:v>TC-BR-INT-08-A</x:v>
      </x:c>
      <x:c r="B162" s="7" t="str">
        <x:v>BR-INT-08</x:v>
      </x:c>
      <x:c r="C162" s="7" t="str">
        <x:v>FR-INT-08</x:v>
      </x:c>
      <x:c r="D162" s="7" t="str">
        <x:v>Limited integration alternatives acceptance</x:v>
      </x:c>
      <x:c r="E162" s="7" t="str">
        <x:v>Functional</x:v>
      </x:c>
      <x:c r="F162" s="7" t="str">
        <x:v>Must</x:v>
      </x:c>
      <x:c r="G162" s="7" t="str">
        <x:v>R1</x:v>
      </x:c>
      <x:c r="H162" s="7" t="str">
        <x:v>FX-INT-08</x:v>
      </x:c>
      <x:c r="I162" s="7" t="str">
        <x:v>Synthetic tenant A; verified actor with intended scope; relevant pack and connector test profile active; reset fixture before execution.</x:v>
      </x:c>
      <x:c r="J162" s="7" t="str">
        <x:v>1. Load FX-INT-08. 2. File exports and assisted hand-offs retain a local action ID and prepared state until external acceptance evidence exists. 3. Capture UI/API results and stored receipt or audit evidence.</x:v>
      </x:c>
      <x:c r="K162" s="7" t="str">
        <x:v>Exported files carry reconciliation identifiers; a prepared export is never reported as accepted until acceptance evidence is recorded.</x:v>
      </x:c>
      <x:c r="L162" s="10" t="str">
        <x:v>Not run</x:v>
      </x:c>
      <x:c r="M162" s="10" t="str">
        <x:v>QA with Integration owner</x:v>
      </x:c>
      <x:c r="N162" s="10" t="str"/>
      <x:c r="O162" s="10" t="str"/>
      <x:c r="P162" s="7" t="n">
        <x:f>IF(LEN(N162)&gt;0,1,0)</x:f>
        <x:v>0</x:v>
      </x:c>
    </x:row>
    <x:row r="163" ht="47.25" customHeight="1">
      <x:c r="A163" s="8" t="str">
        <x:v>TC-BR-INT-08-B</x:v>
      </x:c>
      <x:c r="B163" s="8" t="str">
        <x:v>BR-INT-08</x:v>
      </x:c>
      <x:c r="C163" s="8" t="str">
        <x:v>FR-INT-08</x:v>
      </x:c>
      <x:c r="D163" s="8" t="str">
        <x:v>Limited integration alternatives adverse condition</x:v>
      </x:c>
      <x:c r="E163" s="8" t="str">
        <x:v>Negative or recovery</x:v>
      </x:c>
      <x:c r="F163" s="8" t="str">
        <x:v>Must</x:v>
      </x:c>
      <x:c r="G163" s="8" t="str">
        <x:v>R1</x:v>
      </x:c>
      <x:c r="H163" s="8" t="str">
        <x:v>FX-INT-08-NEG</x:v>
      </x:c>
      <x:c r="I163" s="8" t="str">
        <x:v>Isolated synthetic tenant; begin from the corresponding acceptance scenario; inject only the named adverse condition.</x:v>
      </x:c>
      <x:c r="J163" s="8" t="str">
        <x:v>1. Establish the normal precondition. 2. Generate a CSV successfully; it cannot be reported as accepted by the programme. 3. Inspect user state, side effects, audit and any recovery queue.</x:v>
      </x:c>
      <x:c r="K163" s="8" t="str">
        <x:v>Generate a CSV successfully; it cannot be reported as accepted by the programme. Evidence must show the actual final state and any accountable unresolved work.</x:v>
      </x:c>
      <x:c r="L163" s="10" t="str">
        <x:v>Not run</x:v>
      </x:c>
      <x:c r="M163" s="10" t="str">
        <x:v>QA with Integration owner</x:v>
      </x:c>
      <x:c r="N163" s="10" t="str"/>
      <x:c r="O163" s="10" t="str"/>
      <x:c r="P163" s="8" t="n">
        <x:f>IF(LEN(N163)&gt;0,1,0)</x:f>
        <x:v>0</x:v>
      </x:c>
    </x:row>
    <x:row r="164" ht="47.25" customHeight="1">
      <x:c r="A164" s="7" t="str">
        <x:v>TC-BR-INT-09-A</x:v>
      </x:c>
      <x:c r="B164" s="7" t="str">
        <x:v>BR-INT-09</x:v>
      </x:c>
      <x:c r="C164" s="7" t="str">
        <x:v>FR-INT-09</x:v>
      </x:c>
      <x:c r="D164" s="7" t="str">
        <x:v>Per-destination data minimisation acceptance</x:v>
      </x:c>
      <x:c r="E164" s="7" t="str">
        <x:v>Functional</x:v>
      </x:c>
      <x:c r="F164" s="7" t="str">
        <x:v>Must</x:v>
      </x:c>
      <x:c r="G164" s="7" t="str">
        <x:v>R1</x:v>
      </x:c>
      <x:c r="H164" s="7" t="str">
        <x:v>FX-INT-09</x:v>
      </x:c>
      <x:c r="I164" s="7" t="str">
        <x:v>Synthetic tenant A; verified actor with intended scope; relevant pack and connector test profile active; reset fixture before execution.</x:v>
      </x:c>
      <x:c r="J164" s="7" t="str">
        <x:v>1. Load FX-INT-09. 2. Per-destination allowlists distinguish aggregate measures from person-level transactions and remove unrelated fields. 3. Capture UI/API results and stored receipt or audit evidence.</x:v>
      </x:c>
      <x:c r="K164" s="7" t="str">
        <x:v>Payload fixtures and production audits verify field allowlists and distinguish person records from aggregate measures.</x:v>
      </x:c>
      <x:c r="L164" s="10" t="str">
        <x:v>Not run</x:v>
      </x:c>
      <x:c r="M164" s="10" t="str">
        <x:v>QA with Integration owner</x:v>
      </x:c>
      <x:c r="N164" s="10" t="str"/>
      <x:c r="O164" s="10" t="str"/>
      <x:c r="P164" s="7" t="n">
        <x:f>IF(LEN(N164)&gt;0,1,0)</x:f>
        <x:v>0</x:v>
      </x:c>
    </x:row>
    <x:row r="165" ht="47.25" customHeight="1">
      <x:c r="A165" s="8" t="str">
        <x:v>TC-BR-INT-09-B</x:v>
      </x:c>
      <x:c r="B165" s="8" t="str">
        <x:v>BR-INT-09</x:v>
      </x:c>
      <x:c r="C165" s="8" t="str">
        <x:v>FR-INT-09</x:v>
      </x:c>
      <x:c r="D165" s="8" t="str">
        <x:v>Per-destination data minimisation adverse condition</x:v>
      </x:c>
      <x:c r="E165" s="8" t="str">
        <x:v>Negative or recovery</x:v>
      </x:c>
      <x:c r="F165" s="8" t="str">
        <x:v>Must</x:v>
      </x:c>
      <x:c r="G165" s="8" t="str">
        <x:v>R1</x:v>
      </x:c>
      <x:c r="H165" s="8" t="str">
        <x:v>FX-INT-09-NEG</x:v>
      </x:c>
      <x:c r="I165" s="8" t="str">
        <x:v>Isolated synthetic tenant; begin from the corresponding acceptance scenario; inject only the named adverse condition.</x:v>
      </x:c>
      <x:c r="J165" s="8" t="str">
        <x:v>1. Establish the normal precondition. 2. Send person identifiers to an aggregate-only endpoint; validation must reject the payload. 3. Inspect user state, side effects, audit and any recovery queue.</x:v>
      </x:c>
      <x:c r="K165" s="8" t="str">
        <x:v>Send person identifiers to an aggregate-only endpoint; validation must reject the payload. Evidence must show the actual final state and any accountable unresolved work.</x:v>
      </x:c>
      <x:c r="L165" s="10" t="str">
        <x:v>Not run</x:v>
      </x:c>
      <x:c r="M165" s="10" t="str">
        <x:v>QA with Integration owner</x:v>
      </x:c>
      <x:c r="N165" s="10" t="str"/>
      <x:c r="O165" s="10" t="str"/>
      <x:c r="P165" s="8" t="n">
        <x:f>IF(LEN(N165)&gt;0,1,0)</x:f>
        <x:v>0</x:v>
      </x:c>
    </x:row>
    <x:row r="166" ht="47.25" customHeight="1">
      <x:c r="A166" s="7" t="str">
        <x:v>TC-BR-INT-10-A</x:v>
      </x:c>
      <x:c r="B166" s="7" t="str">
        <x:v>BR-INT-10</x:v>
      </x:c>
      <x:c r="C166" s="7" t="str">
        <x:v>FR-INT-10</x:v>
      </x:c>
      <x:c r="D166" s="7" t="str">
        <x:v>Standards-based exchange acceptance</x:v>
      </x:c>
      <x:c r="E166" s="7" t="str">
        <x:v>Functional</x:v>
      </x:c>
      <x:c r="F166" s="7" t="str">
        <x:v>Must</x:v>
      </x:c>
      <x:c r="G166" s="7" t="str">
        <x:v>R1</x:v>
      </x:c>
      <x:c r="H166" s="7" t="str">
        <x:v>FX-INT-10</x:v>
      </x:c>
      <x:c r="I166" s="7" t="str">
        <x:v>Synthetic tenant A; verified actor with intended scope; relevant pack and connector test profile active; reset fixture before execution.</x:v>
      </x:c>
      <x:c r="J166" s="7" t="str">
        <x:v>1. Load FX-INT-10. 2. Connector manifests pin the receiving system profile, terminology release and validator configuration. 3. Capture UI/API results and stored receipt or audit evidence.</x:v>
      </x:c>
      <x:c r="K166" s="7" t="str">
        <x:v>Standards validation and owner acceptance are recorded separately; valid FHIR content alone does not mark the connector production-ready.</x:v>
      </x:c>
      <x:c r="L166" s="10" t="str">
        <x:v>Not run</x:v>
      </x:c>
      <x:c r="M166" s="10" t="str">
        <x:v>QA with Integration owner</x:v>
      </x:c>
      <x:c r="N166" s="10" t="str"/>
      <x:c r="O166" s="10" t="str"/>
      <x:c r="P166" s="7" t="n">
        <x:f>IF(LEN(N166)&gt;0,1,0)</x:f>
        <x:v>0</x:v>
      </x:c>
    </x:row>
    <x:row r="167" ht="47.25" customHeight="1">
      <x:c r="A167" s="8" t="str">
        <x:v>TC-BR-INT-10-B</x:v>
      </x:c>
      <x:c r="B167" s="8" t="str">
        <x:v>BR-INT-10</x:v>
      </x:c>
      <x:c r="C167" s="8" t="str">
        <x:v>FR-INT-10</x:v>
      </x:c>
      <x:c r="D167" s="8" t="str">
        <x:v>Standards-based exchange adverse condition</x:v>
      </x:c>
      <x:c r="E167" s="8" t="str">
        <x:v>Negative or recovery</x:v>
      </x:c>
      <x:c r="F167" s="8" t="str">
        <x:v>Must</x:v>
      </x:c>
      <x:c r="G167" s="8" t="str">
        <x:v>R1</x:v>
      </x:c>
      <x:c r="H167" s="8" t="str">
        <x:v>FX-INT-10-NEG</x:v>
      </x:c>
      <x:c r="I167" s="8" t="str">
        <x:v>Isolated synthetic tenant; begin from the corresponding acceptance scenario; inject only the named adverse condition.</x:v>
      </x:c>
      <x:c r="J167" s="8" t="str">
        <x:v>1. Establish the normal precondition. 2. Validate generic FHIR against a destination requiring a local profile; generic success cannot pass the connector gate. 3. Inspect user state, side effects, audit and any recovery queue.</x:v>
      </x:c>
      <x:c r="K167" s="8" t="str">
        <x:v>Validate generic FHIR against a destination requiring a local profile; generic success cannot pass the connector gate. Evidence must show the actual final state and any accountable unresolved work.</x:v>
      </x:c>
      <x:c r="L167" s="10" t="str">
        <x:v>Not run</x:v>
      </x:c>
      <x:c r="M167" s="10" t="str">
        <x:v>QA with Integration owner</x:v>
      </x:c>
      <x:c r="N167" s="10" t="str"/>
      <x:c r="O167" s="10" t="str"/>
      <x:c r="P167" s="8" t="n">
        <x:f>IF(LEN(N167)&gt;0,1,0)</x:f>
        <x:v>0</x:v>
      </x:c>
    </x:row>
    <x:row r="168" ht="47.25" customHeight="1">
      <x:c r="A168" s="7" t="str">
        <x:v>TC-BR-INT-11-A</x:v>
      </x:c>
      <x:c r="B168" s="7" t="str">
        <x:v>BR-INT-11</x:v>
      </x:c>
      <x:c r="C168" s="7" t="str">
        <x:v>FR-INT-11</x:v>
      </x:c>
      <x:c r="D168" s="7" t="str">
        <x:v>Canonical exchange representation acceptance</x:v>
      </x:c>
      <x:c r="E168" s="7" t="str">
        <x:v>Functional</x:v>
      </x:c>
      <x:c r="F168" s="7" t="str">
        <x:v>Must</x:v>
      </x:c>
      <x:c r="G168" s="7" t="str">
        <x:v>R1</x:v>
      </x:c>
      <x:c r="H168" s="7" t="str">
        <x:v>FX-INT-11</x:v>
      </x:c>
      <x:c r="I168" s="7" t="str">
        <x:v>Synthetic tenant A; verified actor with intended scope; relevant pack and connector test profile active; reset fixture before execution.</x:v>
      </x:c>
      <x:c r="J168" s="7" t="str">
        <x:v>1. Load FX-INT-11. 2. Canonical entities map to destination records through explicit versioned transformations with provenance links. 3. Capture UI/API results and stored receipt or audit evidence.</x:v>
      </x:c>
      <x:c r="K168" s="7" t="str">
        <x:v>A single confirmed blood-pressure observation can be mapped to two approved destinations, and the audit shows the original source, canonical value, units, mapping version and each destination payload.</x:v>
      </x:c>
      <x:c r="L168" s="10" t="str">
        <x:v>Not run</x:v>
      </x:c>
      <x:c r="M168" s="10" t="str">
        <x:v>QA with Integration owner</x:v>
      </x:c>
      <x:c r="N168" s="10" t="str"/>
      <x:c r="O168" s="10" t="str"/>
      <x:c r="P168" s="7" t="n">
        <x:f>IF(LEN(N168)&gt;0,1,0)</x:f>
        <x:v>0</x:v>
      </x:c>
    </x:row>
    <x:row r="169" ht="47.25" customHeight="1">
      <x:c r="A169" s="8" t="str">
        <x:v>TC-BR-INT-11-B</x:v>
      </x:c>
      <x:c r="B169" s="8" t="str">
        <x:v>BR-INT-11</x:v>
      </x:c>
      <x:c r="C169" s="8" t="str">
        <x:v>FR-INT-11</x:v>
      </x:c>
      <x:c r="D169" s="8" t="str">
        <x:v>Canonical exchange representation adverse condition</x:v>
      </x:c>
      <x:c r="E169" s="8" t="str">
        <x:v>Negative or recovery</x:v>
      </x:c>
      <x:c r="F169" s="8" t="str">
        <x:v>Must</x:v>
      </x:c>
      <x:c r="G169" s="8" t="str">
        <x:v>R1</x:v>
      </x:c>
      <x:c r="H169" s="8" t="str">
        <x:v>FX-INT-11-NEG</x:v>
      </x:c>
      <x:c r="I169" s="8" t="str">
        <x:v>Isolated synthetic tenant; begin from the corresponding acceptance scenario; inject only the named adverse condition.</x:v>
      </x:c>
      <x:c r="J169" s="8" t="str">
        <x:v>1. Establish the normal precondition. 2. Map one observation into two destinations; values, units and lineage must reconcile to the same source revision. 3. Inspect user state, side effects, audit and any recovery queue.</x:v>
      </x:c>
      <x:c r="K169" s="8" t="str">
        <x:v>Map one observation into two destinations; values, units and lineage must reconcile to the same source revision. Evidence must show the actual final state and any accountable unresolved work.</x:v>
      </x:c>
      <x:c r="L169" s="10" t="str">
        <x:v>Not run</x:v>
      </x:c>
      <x:c r="M169" s="10" t="str">
        <x:v>QA with Integration owner</x:v>
      </x:c>
      <x:c r="N169" s="10" t="str"/>
      <x:c r="O169" s="10" t="str"/>
      <x:c r="P169" s="8" t="n">
        <x:f>IF(LEN(N169)&gt;0,1,0)</x:f>
        <x:v>0</x:v>
      </x:c>
    </x:row>
    <x:row r="170" ht="47.25" customHeight="1">
      <x:c r="A170" s="7" t="str">
        <x:v>TC-BR-INT-12-A</x:v>
      </x:c>
      <x:c r="B170" s="7" t="str">
        <x:v>BR-INT-12</x:v>
      </x:c>
      <x:c r="C170" s="7" t="str">
        <x:v>FR-INT-12</x:v>
      </x:c>
      <x:c r="D170" s="7" t="str">
        <x:v>Source and destination provenance acceptance</x:v>
      </x:c>
      <x:c r="E170" s="7" t="str">
        <x:v>Functional</x:v>
      </x:c>
      <x:c r="F170" s="7" t="str">
        <x:v>Must</x:v>
      </x:c>
      <x:c r="G170" s="7" t="str">
        <x:v>R1</x:v>
      </x:c>
      <x:c r="H170" s="7" t="str">
        <x:v>FX-INT-12</x:v>
      </x:c>
      <x:c r="I170" s="7" t="str">
        <x:v>Synthetic tenant A; verified actor with intended scope; relevant pack and connector test profile active; reset fixture before execution.</x:v>
      </x:c>
      <x:c r="J170" s="7" t="str">
        <x:v>1. Load FX-INT-12. 2. Source identifiers, author, effective time, original status and transformation versions survive import and export. 3. Capture UI/API results and stored receipt or audit evidence.</x:v>
      </x:c>
      <x:c r="K170" s="7" t="str">
        <x:v>An imported laboratory result and an ASHA-recorded observation remain distinguishable after display, export and reconciliation.</x:v>
      </x:c>
      <x:c r="L170" s="10" t="str">
        <x:v>Not run</x:v>
      </x:c>
      <x:c r="M170" s="10" t="str">
        <x:v>QA with Integration owner</x:v>
      </x:c>
      <x:c r="N170" s="10" t="str"/>
      <x:c r="O170" s="10" t="str"/>
      <x:c r="P170" s="7" t="n">
        <x:f>IF(LEN(N170)&gt;0,1,0)</x:f>
        <x:v>0</x:v>
      </x:c>
    </x:row>
    <x:row r="171" ht="47.25" customHeight="1">
      <x:c r="A171" s="8" t="str">
        <x:v>TC-BR-INT-12-B</x:v>
      </x:c>
      <x:c r="B171" s="8" t="str">
        <x:v>BR-INT-12</x:v>
      </x:c>
      <x:c r="C171" s="8" t="str">
        <x:v>FR-INT-12</x:v>
      </x:c>
      <x:c r="D171" s="8" t="str">
        <x:v>Source and destination provenance adverse condition</x:v>
      </x:c>
      <x:c r="E171" s="8" t="str">
        <x:v>Negative or recovery</x:v>
      </x:c>
      <x:c r="F171" s="8" t="str">
        <x:v>Must</x:v>
      </x:c>
      <x:c r="G171" s="8" t="str">
        <x:v>R1</x:v>
      </x:c>
      <x:c r="H171" s="8" t="str">
        <x:v>FX-INT-12-NEG</x:v>
      </x:c>
      <x:c r="I171" s="8" t="str">
        <x:v>Isolated synthetic tenant; begin from the corresponding acceptance scenario; inject only the named adverse condition.</x:v>
      </x:c>
      <x:c r="J171" s="8" t="str">
        <x:v>1. Establish the normal precondition. 2. Import a laboratory result; it must not appear as a measurement originally taken by the ASHA. 3. Inspect user state, side effects, audit and any recovery queue.</x:v>
      </x:c>
      <x:c r="K171" s="8" t="str">
        <x:v>Import a laboratory result; it must not appear as a measurement originally taken by the ASHA. Evidence must show the actual final state and any accountable unresolved work.</x:v>
      </x:c>
      <x:c r="L171" s="10" t="str">
        <x:v>Not run</x:v>
      </x:c>
      <x:c r="M171" s="10" t="str">
        <x:v>QA with Integration owner</x:v>
      </x:c>
      <x:c r="N171" s="10" t="str"/>
      <x:c r="O171" s="10" t="str"/>
      <x:c r="P171" s="8" t="n">
        <x:f>IF(LEN(N171)&gt;0,1,0)</x:f>
        <x:v>0</x:v>
      </x:c>
    </x:row>
    <x:row r="172" ht="47.25" customHeight="1">
      <x:c r="A172" s="7" t="str">
        <x:v>TC-BR-INT-13-A</x:v>
      </x:c>
      <x:c r="B172" s="7" t="str">
        <x:v>BR-INT-13</x:v>
      </x:c>
      <x:c r="C172" s="7" t="str">
        <x:v>FR-INT-13</x:v>
      </x:c>
      <x:c r="D172" s="7" t="str">
        <x:v>ABDM participation scope acceptance</x:v>
      </x:c>
      <x:c r="E172" s="7" t="str">
        <x:v>Functional</x:v>
      </x:c>
      <x:c r="F172" s="7" t="str">
        <x:v>Must</x:v>
      </x:c>
      <x:c r="G172" s="7" t="str">
        <x:v>R1</x:v>
      </x:c>
      <x:c r="H172" s="7" t="str">
        <x:v>FX-INT-13</x:v>
      </x:c>
      <x:c r="I172" s="7" t="str">
        <x:v>Synthetic tenant A; verified actor with intended scope; relevant pack and connector test profile active; reset fixture before execution.</x:v>
      </x:c>
      <x:c r="J172" s="7" t="str">
        <x:v>1. Load FX-INT-13. 2. ABDM module roles are flags on a verified connector deployment; enabling ABHA does not enable HIP or HIU. 3. Capture UI/API results and stored receipt or audit evidence.</x:v>
      </x:c>
      <x:c r="K172" s="7" t="str">
        <x:v>Administration and test evidence identify the enabled ABDM role, environment, facility, client credentials, approved operations and responsible owner; all other operations are unavailable.</x:v>
      </x:c>
      <x:c r="L172" s="10" t="str">
        <x:v>Not run</x:v>
      </x:c>
      <x:c r="M172" s="10" t="str">
        <x:v>QA with Integration owner</x:v>
      </x:c>
      <x:c r="N172" s="10" t="str"/>
      <x:c r="O172" s="10" t="str"/>
      <x:c r="P172" s="7" t="n">
        <x:f>IF(LEN(N172)&gt;0,1,0)</x:f>
        <x:v>0</x:v>
      </x:c>
    </x:row>
    <x:row r="173" ht="47.25" customHeight="1">
      <x:c r="A173" s="8" t="str">
        <x:v>TC-BR-INT-13-B</x:v>
      </x:c>
      <x:c r="B173" s="8" t="str">
        <x:v>BR-INT-13</x:v>
      </x:c>
      <x:c r="C173" s="8" t="str">
        <x:v>FR-INT-13</x:v>
      </x:c>
      <x:c r="D173" s="8" t="str">
        <x:v>ABDM participation scope adverse condition</x:v>
      </x:c>
      <x:c r="E173" s="8" t="str">
        <x:v>Negative or recovery</x:v>
      </x:c>
      <x:c r="F173" s="8" t="str">
        <x:v>Must</x:v>
      </x:c>
      <x:c r="G173" s="8" t="str">
        <x:v>R1</x:v>
      </x:c>
      <x:c r="H173" s="8" t="str">
        <x:v>FX-INT-13-NEG</x:v>
      </x:c>
      <x:c r="I173" s="8" t="str">
        <x:v>Isolated synthetic tenant; begin from the corresponding acceptance scenario; inject only the named adverse condition.</x:v>
      </x:c>
      <x:c r="J173" s="8" t="str">
        <x:v>1. Establish the normal precondition. 2. Attempt HIU retrieval using an ABHA-only configuration; deny the operation. 3. Inspect user state, side effects, audit and any recovery queue.</x:v>
      </x:c>
      <x:c r="K173" s="8" t="str">
        <x:v>Attempt HIU retrieval using an ABHA-only configuration; deny the operation. Evidence must show the actual final state and any accountable unresolved work.</x:v>
      </x:c>
      <x:c r="L173" s="10" t="str">
        <x:v>Not run</x:v>
      </x:c>
      <x:c r="M173" s="10" t="str">
        <x:v>QA with Integration owner</x:v>
      </x:c>
      <x:c r="N173" s="10" t="str"/>
      <x:c r="O173" s="10" t="str"/>
      <x:c r="P173" s="8" t="n">
        <x:f>IF(LEN(N173)&gt;0,1,0)</x:f>
        <x:v>0</x:v>
      </x:c>
    </x:row>
    <x:row r="174" ht="47.25" customHeight="1">
      <x:c r="A174" s="7" t="str">
        <x:v>TC-BR-INT-14-A</x:v>
      </x:c>
      <x:c r="B174" s="7" t="str">
        <x:v>BR-INT-14</x:v>
      </x:c>
      <x:c r="C174" s="7" t="str">
        <x:v>FR-INT-14</x:v>
      </x:c>
      <x:c r="D174" s="7" t="str">
        <x:v>ABHA identity and record linking acceptance</x:v>
      </x:c>
      <x:c r="E174" s="7" t="str">
        <x:v>Functional</x:v>
      </x:c>
      <x:c r="F174" s="7" t="str">
        <x:v>Must</x:v>
      </x:c>
      <x:c r="G174" s="7" t="str">
        <x:v>R1</x:v>
      </x:c>
      <x:c r="H174" s="7" t="str">
        <x:v>FX-INT-14</x:v>
      </x:c>
      <x:c r="I174" s="7" t="str">
        <x:v>Synthetic tenant A; verified actor with intended scope; relevant pack and connector test profile active; reset fixture before execution.</x:v>
      </x:c>
      <x:c r="J174" s="7" t="str">
        <x:v>1. Load FX-INT-14. 2. ABHA verification and record-linking follow the onboarded flow with explicit user confirmation where required. 3. Capture UI/API results and stored receipt or audit evidence.</x:v>
      </x:c>
      <x:c r="K174" s="7" t="str">
        <x:v>Tests cover verified ABHA linkage, declined linkage, absent ABHA, duplicate candidates, demographic mismatch and later correction without wrong-person disclosure.</x:v>
      </x:c>
      <x:c r="L174" s="10" t="str">
        <x:v>Not run</x:v>
      </x:c>
      <x:c r="M174" s="10" t="str">
        <x:v>QA with Integration owner</x:v>
      </x:c>
      <x:c r="N174" s="10" t="str"/>
      <x:c r="O174" s="10" t="str"/>
      <x:c r="P174" s="7" t="n">
        <x:f>IF(LEN(N174)&gt;0,1,0)</x:f>
        <x:v>0</x:v>
      </x:c>
    </x:row>
    <x:row r="175" ht="47.25" customHeight="1">
      <x:c r="A175" s="8" t="str">
        <x:v>TC-BR-INT-14-B</x:v>
      </x:c>
      <x:c r="B175" s="8" t="str">
        <x:v>BR-INT-14</x:v>
      </x:c>
      <x:c r="C175" s="8" t="str">
        <x:v>FR-INT-14</x:v>
      </x:c>
      <x:c r="D175" s="8" t="str">
        <x:v>ABHA identity and record linking adverse condition</x:v>
      </x:c>
      <x:c r="E175" s="8" t="str">
        <x:v>Negative or recovery</x:v>
      </x:c>
      <x:c r="F175" s="8" t="str">
        <x:v>Must</x:v>
      </x:c>
      <x:c r="G175" s="8" t="str">
        <x:v>R1</x:v>
      </x:c>
      <x:c r="H175" s="8" t="str">
        <x:v>FX-INT-14-NEG</x:v>
      </x:c>
      <x:c r="I175" s="8" t="str">
        <x:v>Isolated synthetic tenant; begin from the corresponding acceptance scenario; inject only the named adverse condition.</x:v>
      </x:c>
      <x:c r="J175" s="8" t="str">
        <x:v>1. Establish the normal precondition. 2. Present a mismatched ABHA or duplicate demographic candidate; retain local care and block wrong-person linkage. 3. Inspect user state, side effects, audit and any recovery queue.</x:v>
      </x:c>
      <x:c r="K175" s="8" t="str">
        <x:v>Present a mismatched ABHA or duplicate demographic candidate; retain local care and block wrong-person linkage. Evidence must show the actual final state and any accountable unresolved work.</x:v>
      </x:c>
      <x:c r="L175" s="10" t="str">
        <x:v>Not run</x:v>
      </x:c>
      <x:c r="M175" s="10" t="str">
        <x:v>QA with Integration owner</x:v>
      </x:c>
      <x:c r="N175" s="10" t="str"/>
      <x:c r="O175" s="10" t="str"/>
      <x:c r="P175" s="8" t="n">
        <x:f>IF(LEN(N175)&gt;0,1,0)</x:f>
        <x:v>0</x:v>
      </x:c>
    </x:row>
    <x:row r="176" ht="47.25" customHeight="1">
      <x:c r="A176" s="7" t="str">
        <x:v>TC-BR-INT-15-A</x:v>
      </x:c>
      <x:c r="B176" s="7" t="str">
        <x:v>BR-INT-15</x:v>
      </x:c>
      <x:c r="C176" s="7" t="str">
        <x:v>FR-INT-15</x:v>
      </x:c>
      <x:c r="D176" s="7" t="str">
        <x:v>ABDM consent enforcement acceptance</x:v>
      </x:c>
      <x:c r="E176" s="7" t="str">
        <x:v>Functional</x:v>
      </x:c>
      <x:c r="F176" s="7" t="str">
        <x:v>Must</x:v>
      </x:c>
      <x:c r="G176" s="7" t="str">
        <x:v>R1</x:v>
      </x:c>
      <x:c r="H176" s="7" t="str">
        <x:v>FX-INT-15</x:v>
      </x:c>
      <x:c r="I176" s="7" t="str">
        <x:v>Synthetic tenant A; verified actor with intended scope; relevant pack and connector test profile active; reset fixture before execution.</x:v>
      </x:c>
      <x:c r="J176" s="7" t="str">
        <x:v>1. Load FX-INT-15. 2. Validate consent requester, provider, purpose, data types, period, frequency, expiry and current status before retrieval. 3. Capture UI/API results and stored receipt or audit evidence.</x:v>
      </x:c>
      <x:c r="K176" s="7" t="str">
        <x:v>Requests outside the approved purpose, date range, data type or validity period are blocked even when the calling user can otherwise view the local patient record.</x:v>
      </x:c>
      <x:c r="L176" s="10" t="str">
        <x:v>Not run</x:v>
      </x:c>
      <x:c r="M176" s="10" t="str">
        <x:v>QA with Integration owner</x:v>
      </x:c>
      <x:c r="N176" s="10" t="str"/>
      <x:c r="O176" s="10" t="str"/>
      <x:c r="P176" s="7" t="n">
        <x:f>IF(LEN(N176)&gt;0,1,0)</x:f>
        <x:v>0</x:v>
      </x:c>
    </x:row>
    <x:row r="177" ht="47.25" customHeight="1">
      <x:c r="A177" s="8" t="str">
        <x:v>TC-BR-INT-15-B</x:v>
      </x:c>
      <x:c r="B177" s="8" t="str">
        <x:v>BR-INT-15</x:v>
      </x:c>
      <x:c r="C177" s="8" t="str">
        <x:v>FR-INT-15</x:v>
      </x:c>
      <x:c r="D177" s="8" t="str">
        <x:v>ABDM consent enforcement adverse condition</x:v>
      </x:c>
      <x:c r="E177" s="8" t="str">
        <x:v>Negative or recovery</x:v>
      </x:c>
      <x:c r="F177" s="8" t="str">
        <x:v>Must</x:v>
      </x:c>
      <x:c r="G177" s="8" t="str">
        <x:v>R1</x:v>
      </x:c>
      <x:c r="H177" s="8" t="str">
        <x:v>FX-INT-15-NEG</x:v>
      </x:c>
      <x:c r="I177" s="8" t="str">
        <x:v>Isolated synthetic tenant; begin from the corresponding acceptance scenario; inject only the named adverse condition.</x:v>
      </x:c>
      <x:c r="J177" s="8" t="str">
        <x:v>1. Establish the normal precondition. 2. Revoke consent after preparing an exchange and before dispatch; no new disclosure may occur. 3. Inspect user state, side effects, audit and any recovery queue.</x:v>
      </x:c>
      <x:c r="K177" s="8" t="str">
        <x:v>Revoke consent after preparing an exchange and before dispatch; no new disclosure may occur. Evidence must show the actual final state and any accountable unresolved work.</x:v>
      </x:c>
      <x:c r="L177" s="10" t="str">
        <x:v>Not run</x:v>
      </x:c>
      <x:c r="M177" s="10" t="str">
        <x:v>QA with Integration owner</x:v>
      </x:c>
      <x:c r="N177" s="10" t="str"/>
      <x:c r="O177" s="10" t="str"/>
      <x:c r="P177" s="8" t="n">
        <x:f>IF(LEN(N177)&gt;0,1,0)</x:f>
        <x:v>0</x:v>
      </x:c>
    </x:row>
    <x:row r="178" ht="47.25" customHeight="1">
      <x:c r="A178" s="7" t="str">
        <x:v>TC-BR-INT-16-A</x:v>
      </x:c>
      <x:c r="B178" s="7" t="str">
        <x:v>BR-INT-16</x:v>
      </x:c>
      <x:c r="C178" s="7" t="str">
        <x:v>FR-INT-16</x:v>
      </x:c>
      <x:c r="D178" s="7" t="str">
        <x:v>Facility and professional attribution acceptance</x:v>
      </x:c>
      <x:c r="E178" s="7" t="str">
        <x:v>Functional</x:v>
      </x:c>
      <x:c r="F178" s="7" t="str">
        <x:v>Must</x:v>
      </x:c>
      <x:c r="G178" s="7" t="str">
        <x:v>R1</x:v>
      </x:c>
      <x:c r="H178" s="7" t="str">
        <x:v>FX-INT-16</x:v>
      </x:c>
      <x:c r="I178" s="7" t="str">
        <x:v>Synthetic tenant A; verified actor with intended scope; relevant pack and connector test profile active; reset fixture before execution.</x:v>
      </x:c>
      <x:c r="J178" s="7" t="str">
        <x:v>1. Load FX-INT-16. 2. Facility and professional identifiers include registry source, verification state and deployment association. 3. Capture UI/API results and stored receipt or audit evidence.</x:v>
      </x:c>
      <x:c r="K178" s="7" t="str">
        <x:v>A consultation bundle fails validation or enters review when the configured facility or practitioner attribution is absent, expired or inconsistent with the encounter.</x:v>
      </x:c>
      <x:c r="L178" s="10" t="str">
        <x:v>Not run</x:v>
      </x:c>
      <x:c r="M178" s="10" t="str">
        <x:v>QA with Integration owner</x:v>
      </x:c>
      <x:c r="N178" s="10" t="str"/>
      <x:c r="O178" s="10" t="str"/>
      <x:c r="P178" s="7" t="n">
        <x:f>IF(LEN(N178)&gt;0,1,0)</x:f>
        <x:v>0</x:v>
      </x:c>
    </x:row>
    <x:row r="179" ht="47.25" customHeight="1">
      <x:c r="A179" s="8" t="str">
        <x:v>TC-BR-INT-16-B</x:v>
      </x:c>
      <x:c r="B179" s="8" t="str">
        <x:v>BR-INT-16</x:v>
      </x:c>
      <x:c r="C179" s="8" t="str">
        <x:v>FR-INT-16</x:v>
      </x:c>
      <x:c r="D179" s="8" t="str">
        <x:v>Facility and professional attribution adverse condition</x:v>
      </x:c>
      <x:c r="E179" s="8" t="str">
        <x:v>Negative or recovery</x:v>
      </x:c>
      <x:c r="F179" s="8" t="str">
        <x:v>Must</x:v>
      </x:c>
      <x:c r="G179" s="8" t="str">
        <x:v>R1</x:v>
      </x:c>
      <x:c r="H179" s="8" t="str">
        <x:v>FX-INT-16-NEG</x:v>
      </x:c>
      <x:c r="I179" s="8" t="str">
        <x:v>Isolated synthetic tenant; begin from the corresponding acceptance scenario; inject only the named adverse condition.</x:v>
      </x:c>
      <x:c r="J179" s="8" t="str">
        <x:v>1. Establish the normal precondition. 2. Build a document with an expired or unrelated practitioner identity; reject or route for correction. 3. Inspect user state, side effects, audit and any recovery queue.</x:v>
      </x:c>
      <x:c r="K179" s="8" t="str">
        <x:v>Build a document with an expired or unrelated practitioner identity; reject or route for correction. Evidence must show the actual final state and any accountable unresolved work.</x:v>
      </x:c>
      <x:c r="L179" s="10" t="str">
        <x:v>Not run</x:v>
      </x:c>
      <x:c r="M179" s="10" t="str">
        <x:v>QA with Integration owner</x:v>
      </x:c>
      <x:c r="N179" s="10" t="str"/>
      <x:c r="O179" s="10" t="str"/>
      <x:c r="P179" s="8" t="n">
        <x:f>IF(LEN(N179)&gt;0,1,0)</x:f>
        <x:v>0</x:v>
      </x:c>
    </x:row>
    <x:row r="180" ht="47.25" customHeight="1">
      <x:c r="A180" s="7" t="str">
        <x:v>TC-BR-INT-17-A</x:v>
      </x:c>
      <x:c r="B180" s="7" t="str">
        <x:v>BR-INT-17</x:v>
      </x:c>
      <x:c r="C180" s="7" t="str">
        <x:v>FR-INT-17</x:v>
      </x:c>
      <x:c r="D180" s="7" t="str">
        <x:v>ABDM FHIR conformance and version control acceptance</x:v>
      </x:c>
      <x:c r="E180" s="7" t="str">
        <x:v>Functional</x:v>
      </x:c>
      <x:c r="F180" s="7" t="str">
        <x:v>Must</x:v>
      </x:c>
      <x:c r="G180" s="7" t="str">
        <x:v>R1</x:v>
      </x:c>
      <x:c r="H180" s="7" t="str">
        <x:v>FX-INT-17</x:v>
      </x:c>
      <x:c r="I180" s="7" t="str">
        <x:v>Synthetic tenant A; verified actor with intended scope; relevant pack and connector test profile active; reset fixture before execution.</x:v>
      </x:c>
      <x:c r="J180" s="7" t="str">
        <x:v>1. Load FX-INT-17. 2. FHIR package hash, profile URL, terminology and validator version are retained with each validation result. 3. Capture UI/API results and stored receipt or audit evidence.</x:v>
      </x:c>
      <x:c r="K180" s="7" t="str">
        <x:v>Every outbound test bundle passes the pinned validator; a deliberate profile violation is rejected with a specific error and no external submission.</x:v>
      </x:c>
      <x:c r="L180" s="10" t="str">
        <x:v>Not run</x:v>
      </x:c>
      <x:c r="M180" s="10" t="str">
        <x:v>QA with Integration owner</x:v>
      </x:c>
      <x:c r="N180" s="10" t="str"/>
      <x:c r="O180" s="10" t="str"/>
      <x:c r="P180" s="7" t="n">
        <x:f>IF(LEN(N180)&gt;0,1,0)</x:f>
        <x:v>0</x:v>
      </x:c>
    </x:row>
    <x:row r="181" ht="47.25" customHeight="1">
      <x:c r="A181" s="8" t="str">
        <x:v>TC-BR-INT-17-B</x:v>
      </x:c>
      <x:c r="B181" s="8" t="str">
        <x:v>BR-INT-17</x:v>
      </x:c>
      <x:c r="C181" s="8" t="str">
        <x:v>FR-INT-17</x:v>
      </x:c>
      <x:c r="D181" s="8" t="str">
        <x:v>ABDM FHIR conformance and version control adverse condition</x:v>
      </x:c>
      <x:c r="E181" s="8" t="str">
        <x:v>Negative or recovery</x:v>
      </x:c>
      <x:c r="F181" s="8" t="str">
        <x:v>Must</x:v>
      </x:c>
      <x:c r="G181" s="8" t="str">
        <x:v>R1</x:v>
      </x:c>
      <x:c r="H181" s="8" t="str">
        <x:v>FX-INT-17-NEG</x:v>
      </x:c>
      <x:c r="I181" s="8" t="str">
        <x:v>Isolated synthetic tenant; begin from the corresponding acceptance scenario; inject only the named adverse condition.</x:v>
      </x:c>
      <x:c r="J181" s="8" t="str">
        <x:v>1. Establish the normal precondition. 2. Send an invalid cardinality or code fixture; outbound exchange remains blocked. 3. Inspect user state, side effects, audit and any recovery queue.</x:v>
      </x:c>
      <x:c r="K181" s="8" t="str">
        <x:v>Send an invalid cardinality or code fixture; outbound exchange remains blocked. Evidence must show the actual final state and any accountable unresolved work.</x:v>
      </x:c>
      <x:c r="L181" s="10" t="str">
        <x:v>Not run</x:v>
      </x:c>
      <x:c r="M181" s="10" t="str">
        <x:v>QA with Integration owner</x:v>
      </x:c>
      <x:c r="N181" s="10" t="str"/>
      <x:c r="O181" s="10" t="str"/>
      <x:c r="P181" s="8" t="n">
        <x:f>IF(LEN(N181)&gt;0,1,0)</x:f>
        <x:v>0</x:v>
      </x:c>
    </x:row>
    <x:row r="182" ht="47.25" customHeight="1">
      <x:c r="A182" s="7" t="str">
        <x:v>TC-BR-INT-18-A</x:v>
      </x:c>
      <x:c r="B182" s="7" t="str">
        <x:v>BR-INT-18</x:v>
      </x:c>
      <x:c r="C182" s="7" t="str">
        <x:v>FR-INT-18</x:v>
      </x:c>
      <x:c r="D182" s="7" t="str">
        <x:v>Health Information Provider operation acceptance</x:v>
      </x:c>
      <x:c r="E182" s="7" t="str">
        <x:v>Functional</x:v>
      </x:c>
      <x:c r="F182" s="7" t="str">
        <x:v>Must</x:v>
      </x:c>
      <x:c r="G182" s="7" t="str">
        <x:v>R1</x:v>
      </x:c>
      <x:c r="H182" s="7" t="str">
        <x:v>FX-INT-18</x:v>
      </x:c>
      <x:c r="I182" s="7" t="str">
        <x:v>Synthetic tenant A; verified actor with intended scope; relevant pack and connector test profile active; reset fixture before execution.</x:v>
      </x:c>
      <x:c r="J182" s="7" t="str">
        <x:v>1. Load FX-INT-18. 2. HIP publication registers eligible local records and care contexts, then fulfils only verified authorised requests. 3. Capture UI/API results and stored receipt or audit evidence.</x:v>
      </x:c>
      <x:c r="K182" s="7" t="str">
        <x:v>A consented request retrieves only the authorised records and produces traceable request, encryption, transfer, acknowledgement and error evidence without exposing unrelated records.</x:v>
      </x:c>
      <x:c r="L182" s="10" t="str">
        <x:v>Not run</x:v>
      </x:c>
      <x:c r="M182" s="10" t="str">
        <x:v>QA with Integration owner</x:v>
      </x:c>
      <x:c r="N182" s="10" t="str"/>
      <x:c r="O182" s="10" t="str"/>
      <x:c r="P182" s="7" t="n">
        <x:f>IF(LEN(N182)&gt;0,1,0)</x:f>
        <x:v>0</x:v>
      </x:c>
    </x:row>
    <x:row r="183" ht="47.25" customHeight="1">
      <x:c r="A183" s="8" t="str">
        <x:v>TC-BR-INT-18-B</x:v>
      </x:c>
      <x:c r="B183" s="8" t="str">
        <x:v>BR-INT-18</x:v>
      </x:c>
      <x:c r="C183" s="8" t="str">
        <x:v>FR-INT-18</x:v>
      </x:c>
      <x:c r="D183" s="8" t="str">
        <x:v>Health Information Provider operation adverse condition</x:v>
      </x:c>
      <x:c r="E183" s="8" t="str">
        <x:v>Negative or recovery</x:v>
      </x:c>
      <x:c r="F183" s="8" t="str">
        <x:v>Must</x:v>
      </x:c>
      <x:c r="G183" s="8" t="str">
        <x:v>R1</x:v>
      </x:c>
      <x:c r="H183" s="8" t="str">
        <x:v>FX-INT-18-NEG</x:v>
      </x:c>
      <x:c r="I183" s="8" t="str">
        <x:v>Isolated synthetic tenant; begin from the corresponding acceptance scenario; inject only the named adverse condition.</x:v>
      </x:c>
      <x:c r="J183" s="8" t="str">
        <x:v>1. Establish the normal precondition. 2. Request an unrelated care context; HIP adapter must return no unauthorised record. 3. Inspect user state, side effects, audit and any recovery queue.</x:v>
      </x:c>
      <x:c r="K183" s="8" t="str">
        <x:v>Request an unrelated care context; HIP adapter must return no unauthorised record. Evidence must show the actual final state and any accountable unresolved work.</x:v>
      </x:c>
      <x:c r="L183" s="10" t="str">
        <x:v>Not run</x:v>
      </x:c>
      <x:c r="M183" s="10" t="str">
        <x:v>QA with Integration owner</x:v>
      </x:c>
      <x:c r="N183" s="10" t="str"/>
      <x:c r="O183" s="10" t="str"/>
      <x:c r="P183" s="8" t="n">
        <x:f>IF(LEN(N183)&gt;0,1,0)</x:f>
        <x:v>0</x:v>
      </x:c>
    </x:row>
    <x:row r="184" ht="47.25" customHeight="1">
      <x:c r="A184" s="7" t="str">
        <x:v>TC-BR-INT-19-A</x:v>
      </x:c>
      <x:c r="B184" s="7" t="str">
        <x:v>BR-INT-19</x:v>
      </x:c>
      <x:c r="C184" s="7" t="str">
        <x:v>FR-INT-19</x:v>
      </x:c>
      <x:c r="D184" s="7" t="str">
        <x:v>Health Information User operation acceptance</x:v>
      </x:c>
      <x:c r="E184" s="7" t="str">
        <x:v>Functional</x:v>
      </x:c>
      <x:c r="F184" s="7" t="str">
        <x:v>Must</x:v>
      </x:c>
      <x:c r="G184" s="7" t="str">
        <x:v>R1</x:v>
      </x:c>
      <x:c r="H184" s="7" t="str">
        <x:v>FX-INT-19</x:v>
      </x:c>
      <x:c r="I184" s="7" t="str">
        <x:v>Synthetic tenant A; verified actor with intended scope; relevant pack and connector test profile active; reset fixture before execution.</x:v>
      </x:c>
      <x:c r="J184" s="7" t="str">
        <x:v>1. Load FX-INT-19. 2. HIU retrieval tracks consent and data-flow transactions, decrypts through the authorised boundary and validates each bundle. 3. Capture UI/API results and stored receipt or audit evidence.</x:v>
      </x:c>
      <x:c r="K184" s="7" t="str">
        <x:v>A received record is shown with its source and effective date, while invalid, duplicate or conflicting content enters the configured reconciliation path.</x:v>
      </x:c>
      <x:c r="L184" s="10" t="str">
        <x:v>Not run</x:v>
      </x:c>
      <x:c r="M184" s="10" t="str">
        <x:v>QA with Integration owner</x:v>
      </x:c>
      <x:c r="N184" s="10" t="str"/>
      <x:c r="O184" s="10" t="str"/>
      <x:c r="P184" s="7" t="n">
        <x:f>IF(LEN(N184)&gt;0,1,0)</x:f>
        <x:v>0</x:v>
      </x:c>
    </x:row>
    <x:row r="185" ht="47.25" customHeight="1">
      <x:c r="A185" s="8" t="str">
        <x:v>TC-BR-INT-19-B</x:v>
      </x:c>
      <x:c r="B185" s="8" t="str">
        <x:v>BR-INT-19</x:v>
      </x:c>
      <x:c r="C185" s="8" t="str">
        <x:v>FR-INT-19</x:v>
      </x:c>
      <x:c r="D185" s="8" t="str">
        <x:v>Health Information User operation adverse condition</x:v>
      </x:c>
      <x:c r="E185" s="8" t="str">
        <x:v>Negative or recovery</x:v>
      </x:c>
      <x:c r="F185" s="8" t="str">
        <x:v>Must</x:v>
      </x:c>
      <x:c r="G185" s="8" t="str">
        <x:v>R1</x:v>
      </x:c>
      <x:c r="H185" s="8" t="str">
        <x:v>FX-INT-19-NEG</x:v>
      </x:c>
      <x:c r="I185" s="8" t="str">
        <x:v>Isolated synthetic tenant; begin from the corresponding acceptance scenario; inject only the named adverse condition.</x:v>
      </x:c>
      <x:c r="J185" s="8" t="str">
        <x:v>1. Establish the normal precondition. 2. Receive an invalid or wrong-person bundle; quarantine it and preserve local records unchanged. 3. Inspect user state, side effects, audit and any recovery queue.</x:v>
      </x:c>
      <x:c r="K185" s="8" t="str">
        <x:v>Receive an invalid or wrong-person bundle; quarantine it and preserve local records unchanged. Evidence must show the actual final state and any accountable unresolved work.</x:v>
      </x:c>
      <x:c r="L185" s="10" t="str">
        <x:v>Not run</x:v>
      </x:c>
      <x:c r="M185" s="10" t="str">
        <x:v>QA with Integration owner</x:v>
      </x:c>
      <x:c r="N185" s="10" t="str"/>
      <x:c r="O185" s="10" t="str"/>
      <x:c r="P185" s="8" t="n">
        <x:f>IF(LEN(N185)&gt;0,1,0)</x:f>
        <x:v>0</x:v>
      </x:c>
    </x:row>
    <x:row r="186" ht="47.25" customHeight="1">
      <x:c r="A186" s="7" t="str">
        <x:v>TC-BR-INT-20-A</x:v>
      </x:c>
      <x:c r="B186" s="7" t="str">
        <x:v>BR-INT-20</x:v>
      </x:c>
      <x:c r="C186" s="7" t="str">
        <x:v>FR-INT-20</x:v>
      </x:c>
      <x:c r="D186" s="7" t="str">
        <x:v>EHR connector capability profile acceptance</x:v>
      </x:c>
      <x:c r="E186" s="7" t="str">
        <x:v>Functional</x:v>
      </x:c>
      <x:c r="F186" s="7" t="str">
        <x:v>Must</x:v>
      </x:c>
      <x:c r="G186" s="7" t="str">
        <x:v>R1</x:v>
      </x:c>
      <x:c r="H186" s="7" t="str">
        <x:v>FX-INT-20</x:v>
      </x:c>
      <x:c r="I186" s="7" t="str">
        <x:v>Synthetic tenant A; verified actor with intended scope; relevant pack and connector test profile active; reset fixture before execution.</x:v>
      </x:c>
      <x:c r="J186" s="7" t="str">
        <x:v>1. Load FX-INT-20. 2. Connector profiles declare resource types, search keys, operations, amendments, pagination, limits and receipt semantics. 3. Capture UI/API results and stored receipt or audit evidence.</x:v>
      </x:c>
      <x:c r="K186" s="7" t="str">
        <x:v>The platform enables only operations declared in the active profile and blocks configuration that assumes unsupported search, update or acknowledgement behaviour.</x:v>
      </x:c>
      <x:c r="L186" s="10" t="str">
        <x:v>Not run</x:v>
      </x:c>
      <x:c r="M186" s="10" t="str">
        <x:v>QA with Integration owner</x:v>
      </x:c>
      <x:c r="N186" s="10" t="str"/>
      <x:c r="O186" s="10" t="str"/>
      <x:c r="P186" s="7" t="n">
        <x:f>IF(LEN(N186)&gt;0,1,0)</x:f>
        <x:v>0</x:v>
      </x:c>
    </x:row>
    <x:row r="187" ht="47.25" customHeight="1">
      <x:c r="A187" s="8" t="str">
        <x:v>TC-BR-INT-20-B</x:v>
      </x:c>
      <x:c r="B187" s="8" t="str">
        <x:v>BR-INT-20</x:v>
      </x:c>
      <x:c r="C187" s="8" t="str">
        <x:v>FR-INT-20</x:v>
      </x:c>
      <x:c r="D187" s="8" t="str">
        <x:v>EHR connector capability profile adverse condition</x:v>
      </x:c>
      <x:c r="E187" s="8" t="str">
        <x:v>Negative or recovery</x:v>
      </x:c>
      <x:c r="F187" s="8" t="str">
        <x:v>Must</x:v>
      </x:c>
      <x:c r="G187" s="8" t="str">
        <x:v>R1</x:v>
      </x:c>
      <x:c r="H187" s="8" t="str">
        <x:v>FX-INT-20-NEG</x:v>
      </x:c>
      <x:c r="I187" s="8" t="str">
        <x:v>Isolated synthetic tenant; begin from the corresponding acceptance scenario; inject only the named adverse condition.</x:v>
      </x:c>
      <x:c r="J187" s="8" t="str">
        <x:v>1. Establish the normal precondition. 2. Configure an EHR search or write absent from the profile; no action should be exposed. 3. Inspect user state, side effects, audit and any recovery queue.</x:v>
      </x:c>
      <x:c r="K187" s="8" t="str">
        <x:v>Configure an EHR search or write absent from the profile; no action should be exposed. Evidence must show the actual final state and any accountable unresolved work.</x:v>
      </x:c>
      <x:c r="L187" s="10" t="str">
        <x:v>Not run</x:v>
      </x:c>
      <x:c r="M187" s="10" t="str">
        <x:v>QA with Integration owner</x:v>
      </x:c>
      <x:c r="N187" s="10" t="str"/>
      <x:c r="O187" s="10" t="str"/>
      <x:c r="P187" s="8" t="n">
        <x:f>IF(LEN(N187)&gt;0,1,0)</x:f>
        <x:v>0</x:v>
      </x:c>
    </x:row>
    <x:row r="188" ht="47.25" customHeight="1">
      <x:c r="A188" s="7" t="str">
        <x:v>TC-BR-INT-21-A</x:v>
      </x:c>
      <x:c r="B188" s="7" t="str">
        <x:v>BR-INT-21</x:v>
      </x:c>
      <x:c r="C188" s="7" t="str">
        <x:v>FR-INT-21</x:v>
      </x:c>
      <x:c r="D188" s="7" t="str">
        <x:v>EHR writeback and conflict handling acceptance</x:v>
      </x:c>
      <x:c r="E188" s="7" t="str">
        <x:v>Functional</x:v>
      </x:c>
      <x:c r="F188" s="7" t="str">
        <x:v>Must</x:v>
      </x:c>
      <x:c r="G188" s="7" t="str">
        <x:v>R1</x:v>
      </x:c>
      <x:c r="H188" s="7" t="str">
        <x:v>FX-INT-21</x:v>
      </x:c>
      <x:c r="I188" s="7" t="str">
        <x:v>Synthetic tenant A; verified actor with intended scope; relevant pack and connector test profile active; reset fixture before execution.</x:v>
      </x:c>
      <x:c r="J188" s="7" t="str">
        <x:v>1. Load FX-INT-21. 2. External version checks or reconciliation protect EHR writes; conflicts never default to last-write-wins. 3. Capture UI/API results and stored receipt or audit evidence.</x:v>
      </x:c>
      <x:c r="K188" s="7" t="str">
        <x:v>Concurrent-update tests preserve both versions, prevent silent loss and route unresolved conflicts to the named operational owner.</x:v>
      </x:c>
      <x:c r="L188" s="10" t="str">
        <x:v>Not run</x:v>
      </x:c>
      <x:c r="M188" s="10" t="str">
        <x:v>QA with Integration owner</x:v>
      </x:c>
      <x:c r="N188" s="10" t="str"/>
      <x:c r="O188" s="10" t="str"/>
      <x:c r="P188" s="7" t="n">
        <x:f>IF(LEN(N188)&gt;0,1,0)</x:f>
        <x:v>0</x:v>
      </x:c>
    </x:row>
    <x:row r="189" ht="47.25" customHeight="1">
      <x:c r="A189" s="8" t="str">
        <x:v>TC-BR-INT-21-B</x:v>
      </x:c>
      <x:c r="B189" s="8" t="str">
        <x:v>BR-INT-21</x:v>
      </x:c>
      <x:c r="C189" s="8" t="str">
        <x:v>FR-INT-21</x:v>
      </x:c>
      <x:c r="D189" s="8" t="str">
        <x:v>EHR writeback and conflict handling adverse condition</x:v>
      </x:c>
      <x:c r="E189" s="8" t="str">
        <x:v>Negative or recovery</x:v>
      </x:c>
      <x:c r="F189" s="8" t="str">
        <x:v>Must</x:v>
      </x:c>
      <x:c r="G189" s="8" t="str">
        <x:v>R1</x:v>
      </x:c>
      <x:c r="H189" s="8" t="str">
        <x:v>FX-INT-21-NEG</x:v>
      </x:c>
      <x:c r="I189" s="8" t="str">
        <x:v>Isolated synthetic tenant; begin from the corresponding acceptance scenario; inject only the named adverse condition.</x:v>
      </x:c>
      <x:c r="J189" s="8" t="str">
        <x:v>1. Establish the normal precondition. 2. Change an EHR record concurrently; retain both versions and require resolution before writeback. 3. Inspect user state, side effects, audit and any recovery queue.</x:v>
      </x:c>
      <x:c r="K189" s="8" t="str">
        <x:v>Change an EHR record concurrently; retain both versions and require resolution before writeback. Evidence must show the actual final state and any accountable unresolved work.</x:v>
      </x:c>
      <x:c r="L189" s="10" t="str">
        <x:v>Not run</x:v>
      </x:c>
      <x:c r="M189" s="10" t="str">
        <x:v>QA with Integration owner</x:v>
      </x:c>
      <x:c r="N189" s="10" t="str"/>
      <x:c r="O189" s="10" t="str"/>
      <x:c r="P189" s="8" t="n">
        <x:f>IF(LEN(N189)&gt;0,1,0)</x:f>
        <x:v>0</x:v>
      </x:c>
    </x:row>
    <x:row r="190" ht="47.25" customHeight="1">
      <x:c r="A190" s="7" t="str">
        <x:v>TC-BR-INT-22-A</x:v>
      </x:c>
      <x:c r="B190" s="7" t="str">
        <x:v>BR-INT-22</x:v>
      </x:c>
      <x:c r="C190" s="7" t="str">
        <x:v>FR-INT-22</x:v>
      </x:c>
      <x:c r="D190" s="7" t="str">
        <x:v>Legacy and document exchange acceptance</x:v>
      </x:c>
      <x:c r="E190" s="7" t="str">
        <x:v>Functional</x:v>
      </x:c>
      <x:c r="F190" s="7" t="str">
        <x:v>Should</x:v>
      </x:c>
      <x:c r="G190" s="7" t="str">
        <x:v>R1</x:v>
      </x:c>
      <x:c r="H190" s="7" t="str">
        <x:v>FX-INT-22</x:v>
      </x:c>
      <x:c r="I190" s="7" t="str">
        <x:v>Synthetic tenant A; verified actor with intended scope; relevant pack and connector test profile active; reset fixture before execution.</x:v>
      </x:c>
      <x:c r="J190" s="7" t="str">
        <x:v>1. Load FX-INT-22. 2. Legacy adapters declare batch latency, source artefacts, acknowledgements and manual review obligations. 3. Capture UI/API results and stored receipt or audit evidence.</x:v>
      </x:c>
      <x:c r="K190" s="7" t="str">
        <x:v>A batch or document connector identifies its delay, source document, extracted fields, reviewer and destination receipt; unsupported writeback remains unavailable.</x:v>
      </x:c>
      <x:c r="L190" s="10" t="str">
        <x:v>Not run</x:v>
      </x:c>
      <x:c r="M190" s="10" t="str">
        <x:v>QA with Integration owner</x:v>
      </x:c>
      <x:c r="N190" s="10" t="str"/>
      <x:c r="O190" s="10" t="str"/>
      <x:c r="P190" s="7" t="n">
        <x:f>IF(LEN(N190)&gt;0,1,0)</x:f>
        <x:v>0</x:v>
      </x:c>
    </x:row>
    <x:row r="191" ht="47.25" customHeight="1">
      <x:c r="A191" s="8" t="str">
        <x:v>TC-BR-INT-22-B</x:v>
      </x:c>
      <x:c r="B191" s="8" t="str">
        <x:v>BR-INT-22</x:v>
      </x:c>
      <x:c r="C191" s="8" t="str">
        <x:v>FR-INT-22</x:v>
      </x:c>
      <x:c r="D191" s="8" t="str">
        <x:v>Legacy and document exchange adverse condition</x:v>
      </x:c>
      <x:c r="E191" s="8" t="str">
        <x:v>Negative or recovery</x:v>
      </x:c>
      <x:c r="F191" s="8" t="str">
        <x:v>Should</x:v>
      </x:c>
      <x:c r="G191" s="8" t="str">
        <x:v>R1</x:v>
      </x:c>
      <x:c r="H191" s="8" t="str">
        <x:v>FX-INT-22-NEG</x:v>
      </x:c>
      <x:c r="I191" s="8" t="str">
        <x:v>Isolated synthetic tenant; begin from the corresponding acceptance scenario; inject only the named adverse condition.</x:v>
      </x:c>
      <x:c r="J191" s="8" t="str">
        <x:v>1. Establish the normal precondition. 2. Import an unreviewed PDF extraction; it cannot become an authoritative structured record automatically. 3. Inspect user state, side effects, audit and any recovery queue.</x:v>
      </x:c>
      <x:c r="K191" s="8" t="str">
        <x:v>Import an unreviewed PDF extraction; it cannot become an authoritative structured record automatically. Evidence must show the actual final state and any accountable unresolved work.</x:v>
      </x:c>
      <x:c r="L191" s="10" t="str">
        <x:v>Not run</x:v>
      </x:c>
      <x:c r="M191" s="10" t="str">
        <x:v>QA with Integration owner</x:v>
      </x:c>
      <x:c r="N191" s="10" t="str"/>
      <x:c r="O191" s="10" t="str"/>
      <x:c r="P191" s="8" t="n">
        <x:f>IF(LEN(N191)&gt;0,1,0)</x:f>
        <x:v>0</x:v>
      </x:c>
    </x:row>
    <x:row r="192" ht="47.25" customHeight="1">
      <x:c r="A192" s="7" t="str">
        <x:v>TC-BR-INT-23-A</x:v>
      </x:c>
      <x:c r="B192" s="7" t="str">
        <x:v>BR-INT-23</x:v>
      </x:c>
      <x:c r="C192" s="7" t="str">
        <x:v>FR-INT-23</x:v>
      </x:c>
      <x:c r="D192" s="7" t="str">
        <x:v>Terminology and mapping governance acceptance</x:v>
      </x:c>
      <x:c r="E192" s="7" t="str">
        <x:v>Functional</x:v>
      </x:c>
      <x:c r="F192" s="7" t="str">
        <x:v>Must</x:v>
      </x:c>
      <x:c r="G192" s="7" t="str">
        <x:v>R1</x:v>
      </x:c>
      <x:c r="H192" s="7" t="str">
        <x:v>FX-INT-23</x:v>
      </x:c>
      <x:c r="I192" s="7" t="str">
        <x:v>Synthetic tenant A; verified actor with intended scope; relevant pack and connector test profile active; reset fixture before execution.</x:v>
      </x:c>
      <x:c r="J192" s="7" t="str">
        <x:v>1. Load FX-INT-23. 2. Unmapped terminology has an explicit state and blocks destinations requiring a code until reviewed mapping exists. 3. Capture UI/API results and stored receipt or audit evidence.</x:v>
      </x:c>
      <x:c r="K192" s="7" t="str">
        <x:v>A terminology change produces an impact report and blocks affected submissions until the mapping is approved or the value is explicitly represented as unmapped.</x:v>
      </x:c>
      <x:c r="L192" s="10" t="str">
        <x:v>Not run</x:v>
      </x:c>
      <x:c r="M192" s="10" t="str">
        <x:v>QA with Integration owner</x:v>
      </x:c>
      <x:c r="N192" s="10" t="str"/>
      <x:c r="O192" s="10" t="str"/>
      <x:c r="P192" s="7" t="n">
        <x:f>IF(LEN(N192)&gt;0,1,0)</x:f>
        <x:v>0</x:v>
      </x:c>
    </x:row>
    <x:row r="193" ht="47.25" customHeight="1">
      <x:c r="A193" s="8" t="str">
        <x:v>TC-BR-INT-23-B</x:v>
      </x:c>
      <x:c r="B193" s="8" t="str">
        <x:v>BR-INT-23</x:v>
      </x:c>
      <x:c r="C193" s="8" t="str">
        <x:v>FR-INT-23</x:v>
      </x:c>
      <x:c r="D193" s="8" t="str">
        <x:v>Terminology and mapping governance adverse condition</x:v>
      </x:c>
      <x:c r="E193" s="8" t="str">
        <x:v>Negative or recovery</x:v>
      </x:c>
      <x:c r="F193" s="8" t="str">
        <x:v>Must</x:v>
      </x:c>
      <x:c r="G193" s="8" t="str">
        <x:v>R1</x:v>
      </x:c>
      <x:c r="H193" s="8" t="str">
        <x:v>FX-INT-23-NEG</x:v>
      </x:c>
      <x:c r="I193" s="8" t="str">
        <x:v>Isolated synthetic tenant; begin from the corresponding acceptance scenario; inject only the named adverse condition.</x:v>
      </x:c>
      <x:c r="J193" s="8" t="str">
        <x:v>1. Establish the normal precondition. 2. Use a deprecated or ambiguous code; do not silently substitute a nearest code. 3. Inspect user state, side effects, audit and any recovery queue.</x:v>
      </x:c>
      <x:c r="K193" s="8" t="str">
        <x:v>Use a deprecated or ambiguous code; do not silently substitute a nearest code. Evidence must show the actual final state and any accountable unresolved work.</x:v>
      </x:c>
      <x:c r="L193" s="10" t="str">
        <x:v>Not run</x:v>
      </x:c>
      <x:c r="M193" s="10" t="str">
        <x:v>QA with Integration owner</x:v>
      </x:c>
      <x:c r="N193" s="10" t="str"/>
      <x:c r="O193" s="10" t="str"/>
      <x:c r="P193" s="8" t="n">
        <x:f>IF(LEN(N193)&gt;0,1,0)</x:f>
        <x:v>0</x:v>
      </x:c>
    </x:row>
    <x:row r="194" ht="47.25" customHeight="1">
      <x:c r="A194" s="7" t="str">
        <x:v>TC-BR-INT-24-A</x:v>
      </x:c>
      <x:c r="B194" s="7" t="str">
        <x:v>BR-INT-24</x:v>
      </x:c>
      <x:c r="C194" s="7" t="str">
        <x:v>FR-INT-24</x:v>
      </x:c>
      <x:c r="D194" s="7" t="str">
        <x:v>Conformance and production claims acceptance</x:v>
      </x:c>
      <x:c r="E194" s="7" t="str">
        <x:v>Functional</x:v>
      </x:c>
      <x:c r="F194" s="7" t="str">
        <x:v>Must</x:v>
      </x:c>
      <x:c r="G194" s="7" t="str">
        <x:v>R1</x:v>
      </x:c>
      <x:c r="H194" s="7" t="str">
        <x:v>FX-INT-24</x:v>
      </x:c>
      <x:c r="I194" s="7" t="str">
        <x:v>Synthetic tenant A; verified actor with intended scope; relevant pack and connector test profile active; reset fixture before execution.</x:v>
      </x:c>
      <x:c r="J194" s="7" t="str">
        <x:v>1. Load FX-INT-24. 2. Expose conformance, sandbox, security review, onboarding and live acceptance as separate evidence fields. 3. Capture UI/API results and stored receipt or audit evidence.</x:v>
      </x:c>
      <x:c r="K194" s="7" t="str">
        <x:v>A sandbox-passing connector cannot be labelled production-live until credentials, owner approval, end-to-end transaction evidence and support responsibility are recorded.</x:v>
      </x:c>
      <x:c r="L194" s="10" t="str">
        <x:v>Not run</x:v>
      </x:c>
      <x:c r="M194" s="10" t="str">
        <x:v>QA with Integration owner</x:v>
      </x:c>
      <x:c r="N194" s="10" t="str"/>
      <x:c r="O194" s="10" t="str"/>
      <x:c r="P194" s="7" t="n">
        <x:f>IF(LEN(N194)&gt;0,1,0)</x:f>
        <x:v>0</x:v>
      </x:c>
    </x:row>
    <x:row r="195" ht="47.25" customHeight="1">
      <x:c r="A195" s="8" t="str">
        <x:v>TC-BR-INT-24-B</x:v>
      </x:c>
      <x:c r="B195" s="8" t="str">
        <x:v>BR-INT-24</x:v>
      </x:c>
      <x:c r="C195" s="8" t="str">
        <x:v>FR-INT-24</x:v>
      </x:c>
      <x:c r="D195" s="8" t="str">
        <x:v>Conformance and production claims adverse condition</x:v>
      </x:c>
      <x:c r="E195" s="8" t="str">
        <x:v>Negative or recovery</x:v>
      </x:c>
      <x:c r="F195" s="8" t="str">
        <x:v>Must</x:v>
      </x:c>
      <x:c r="G195" s="8" t="str">
        <x:v>R1</x:v>
      </x:c>
      <x:c r="H195" s="8" t="str">
        <x:v>FX-INT-24-NEG</x:v>
      </x:c>
      <x:c r="I195" s="8" t="str">
        <x:v>Isolated synthetic tenant; begin from the corresponding acceptance scenario; inject only the named adverse condition.</x:v>
      </x:c>
      <x:c r="J195" s="8" t="str">
        <x:v>1. Establish the normal precondition. 2. Pass all local schema tests with no production credentials; the interface must still show production unavailable. 3. Inspect user state, side effects, audit and any recovery queue.</x:v>
      </x:c>
      <x:c r="K195" s="8" t="str">
        <x:v>Pass all local schema tests with no production credentials; the interface must still show production unavailable. Evidence must show the actual final state and any accountable unresolved work.</x:v>
      </x:c>
      <x:c r="L195" s="10" t="str">
        <x:v>Not run</x:v>
      </x:c>
      <x:c r="M195" s="10" t="str">
        <x:v>QA with Integration owner</x:v>
      </x:c>
      <x:c r="N195" s="10" t="str"/>
      <x:c r="O195" s="10" t="str"/>
      <x:c r="P195" s="8" t="n">
        <x:f>IF(LEN(N195)&gt;0,1,0)</x:f>
        <x:v>0</x:v>
      </x:c>
    </x:row>
    <x:row r="196" ht="47.25" customHeight="1">
      <x:c r="A196" s="7" t="str">
        <x:v>TC-BR-OFF-01-A</x:v>
      </x:c>
      <x:c r="B196" s="7" t="str">
        <x:v>BR-OFF-01</x:v>
      </x:c>
      <x:c r="C196" s="7" t="str">
        <x:v>FR-OFF-01</x:v>
      </x:c>
      <x:c r="D196" s="7" t="str">
        <x:v>Defined offline capability acceptance</x:v>
      </x:c>
      <x:c r="E196" s="7" t="str">
        <x:v>Functional</x:v>
      </x:c>
      <x:c r="F196" s="7" t="str">
        <x:v>Must</x:v>
      </x:c>
      <x:c r="G196" s="7" t="str">
        <x:v>R1</x:v>
      </x:c>
      <x:c r="H196" s="7" t="str">
        <x:v>FX-OFF-01</x:v>
      </x:c>
      <x:c r="I196" s="7" t="str">
        <x:v>Synthetic tenant A; verified actor with intended scope; relevant pack and connector test profile active; reset fixture before execution.</x:v>
      </x:c>
      <x:c r="J196" s="7" t="str">
        <x:v>1. Load FX-OFF-01. 2. Offline availability is a manifest of cached records, protocols and commands under a signed device lease. 3. Capture UI/API results and stored receipt or audit evidence.</x:v>
      </x:c>
      <x:c r="K196" s="7" t="str">
        <x:v>The core offline visit test completes without network access; no cloud model is falsely shown as having run.</x:v>
      </x:c>
      <x:c r="L196" s="10" t="str">
        <x:v>Not run</x:v>
      </x:c>
      <x:c r="M196" s="10" t="str">
        <x:v>QA with Frontline worker</x:v>
      </x:c>
      <x:c r="N196" s="10" t="str"/>
      <x:c r="O196" s="10" t="str"/>
      <x:c r="P196" s="7" t="n">
        <x:f>IF(LEN(N196)&gt;0,1,0)</x:f>
        <x:v>0</x:v>
      </x:c>
    </x:row>
    <x:row r="197" ht="47.25" customHeight="1">
      <x:c r="A197" s="8" t="str">
        <x:v>TC-BR-OFF-01-B</x:v>
      </x:c>
      <x:c r="B197" s="8" t="str">
        <x:v>BR-OFF-01</x:v>
      </x:c>
      <x:c r="C197" s="8" t="str">
        <x:v>FR-OFF-01</x:v>
      </x:c>
      <x:c r="D197" s="8" t="str">
        <x:v>Defined offline capability adverse condition</x:v>
      </x:c>
      <x:c r="E197" s="8" t="str">
        <x:v>Negative or recovery</x:v>
      </x:c>
      <x:c r="F197" s="8" t="str">
        <x:v>Must</x:v>
      </x:c>
      <x:c r="G197" s="8" t="str">
        <x:v>R1</x:v>
      </x:c>
      <x:c r="H197" s="8" t="str">
        <x:v>FX-OFF-01-NEG</x:v>
      </x:c>
      <x:c r="I197" s="8" t="str">
        <x:v>Isolated synthetic tenant; begin from the corresponding acceptance scenario; inject only the named adverse condition.</x:v>
      </x:c>
      <x:c r="J197" s="8" t="str">
        <x:v>1. Establish the normal precondition. 2. Invoke a cloud-only AI tool offline; display unavailable or pending, never a fabricated result. 3. Inspect user state, side effects, audit and any recovery queue.</x:v>
      </x:c>
      <x:c r="K197" s="8" t="str">
        <x:v>Invoke a cloud-only AI tool offline; display unavailable or pending, never a fabricated result. Evidence must show the actual final state and any accountable unresolved work.</x:v>
      </x:c>
      <x:c r="L197" s="10" t="str">
        <x:v>Not run</x:v>
      </x:c>
      <x:c r="M197" s="10" t="str">
        <x:v>QA with Frontline worker</x:v>
      </x:c>
      <x:c r="N197" s="10" t="str"/>
      <x:c r="O197" s="10" t="str"/>
      <x:c r="P197" s="8" t="n">
        <x:f>IF(LEN(N197)&gt;0,1,0)</x:f>
        <x:v>0</x:v>
      </x:c>
    </x:row>
    <x:row r="198" ht="47.25" customHeight="1">
      <x:c r="A198" s="7" t="str">
        <x:v>TC-BR-OFF-02-A</x:v>
      </x:c>
      <x:c r="B198" s="7" t="str">
        <x:v>BR-OFF-02</x:v>
      </x:c>
      <x:c r="C198" s="7" t="str">
        <x:v>FR-OFF-02</x:v>
      </x:c>
      <x:c r="D198" s="7" t="str">
        <x:v>Durable local capture acceptance</x:v>
      </x:c>
      <x:c r="E198" s="7" t="str">
        <x:v>Functional</x:v>
      </x:c>
      <x:c r="F198" s="7" t="str">
        <x:v>Must</x:v>
      </x:c>
      <x:c r="G198" s="7" t="str">
        <x:v>R1</x:v>
      </x:c>
      <x:c r="H198" s="7" t="str">
        <x:v>FX-OFF-02</x:v>
      </x:c>
      <x:c r="I198" s="7" t="str">
        <x:v>Synthetic tenant A; verified actor with intended scope; relevant pack and connector test profile active; reset fixture before execution.</x:v>
      </x:c>
      <x:c r="J198" s="7" t="str">
        <x:v>1. Load FX-OFF-02. 2. Draft and queue mutations commit atomically to encrypted storage before the saved indicator appears. 3. Capture UI/API results and stored receipt or audit evidence.</x:v>
      </x:c>
      <x:c r="K198" s="7" t="str">
        <x:v>Forced restart and low-storage tests preserve acknowledged data or clearly report that saving did not complete.</x:v>
      </x:c>
      <x:c r="L198" s="10" t="str">
        <x:v>Not run</x:v>
      </x:c>
      <x:c r="M198" s="10" t="str">
        <x:v>QA with Frontline worker</x:v>
      </x:c>
      <x:c r="N198" s="10" t="str"/>
      <x:c r="O198" s="10" t="str"/>
      <x:c r="P198" s="7" t="n">
        <x:f>IF(LEN(N198)&gt;0,1,0)</x:f>
        <x:v>0</x:v>
      </x:c>
    </x:row>
    <x:row r="199" ht="47.25" customHeight="1">
      <x:c r="A199" s="8" t="str">
        <x:v>TC-BR-OFF-02-B</x:v>
      </x:c>
      <x:c r="B199" s="8" t="str">
        <x:v>BR-OFF-02</x:v>
      </x:c>
      <x:c r="C199" s="8" t="str">
        <x:v>FR-OFF-02</x:v>
      </x:c>
      <x:c r="D199" s="8" t="str">
        <x:v>Durable local capture adverse condition</x:v>
      </x:c>
      <x:c r="E199" s="8" t="str">
        <x:v>Negative or recovery</x:v>
      </x:c>
      <x:c r="F199" s="8" t="str">
        <x:v>Must</x:v>
      </x:c>
      <x:c r="G199" s="8" t="str">
        <x:v>R1</x:v>
      </x:c>
      <x:c r="H199" s="8" t="str">
        <x:v>FX-OFF-02-NEG</x:v>
      </x:c>
      <x:c r="I199" s="8" t="str">
        <x:v>Isolated synthetic tenant; begin from the corresponding acceptance scenario; inject only the named adverse condition.</x:v>
      </x:c>
      <x:c r="J199" s="8" t="str">
        <x:v>1. Establish the normal precondition. 2. Crash the app during commit; either the full mutation survives or no save acknowledgement is shown. 3. Inspect user state, side effects, audit and any recovery queue.</x:v>
      </x:c>
      <x:c r="K199" s="8" t="str">
        <x:v>Crash the app during commit; either the full mutation survives or no save acknowledgement is shown. Evidence must show the actual final state and any accountable unresolved work.</x:v>
      </x:c>
      <x:c r="L199" s="10" t="str">
        <x:v>Not run</x:v>
      </x:c>
      <x:c r="M199" s="10" t="str">
        <x:v>QA with Frontline worker</x:v>
      </x:c>
      <x:c r="N199" s="10" t="str"/>
      <x:c r="O199" s="10" t="str"/>
      <x:c r="P199" s="8" t="n">
        <x:f>IF(LEN(N199)&gt;0,1,0)</x:f>
        <x:v>0</x:v>
      </x:c>
    </x:row>
    <x:row r="200" ht="47.25" customHeight="1">
      <x:c r="A200" s="7" t="str">
        <x:v>TC-BR-OFF-03-A</x:v>
      </x:c>
      <x:c r="B200" s="7" t="str">
        <x:v>BR-OFF-03</x:v>
      </x:c>
      <x:c r="C200" s="7" t="str">
        <x:v>FR-OFF-03</x:v>
      </x:c>
      <x:c r="D200" s="7" t="str">
        <x:v>Controlled offline authority acceptance</x:v>
      </x:c>
      <x:c r="E200" s="7" t="str">
        <x:v>Functional</x:v>
      </x:c>
      <x:c r="F200" s="7" t="str">
        <x:v>Must</x:v>
      </x:c>
      <x:c r="G200" s="7" t="str">
        <x:v>R1</x:v>
      </x:c>
      <x:c r="H200" s="7" t="str">
        <x:v>FX-OFF-03</x:v>
      </x:c>
      <x:c r="I200" s="7" t="str">
        <x:v>Synthetic tenant A; verified actor with intended scope; relevant pack and connector test profile active; reset fixture before execution.</x:v>
      </x:c>
      <x:c r="J200" s="7" t="str">
        <x:v>1. Load FX-OFF-03. 2. Lease checks use signed server time plus monotonic elapsed time; clock rollback or untrusted reboot requires online verification. 3. Capture UI/API results and stored receipt or audit evidence.</x:v>
      </x:c>
      <x:c r="K200" s="7" t="str">
        <x:v>Expired grants lock cached patient records. Operators understand that revocation cannot reach a disconnected device before reconnection or local expiry.</x:v>
      </x:c>
      <x:c r="L200" s="10" t="str">
        <x:v>Not run</x:v>
      </x:c>
      <x:c r="M200" s="10" t="str">
        <x:v>QA with Frontline worker</x:v>
      </x:c>
      <x:c r="N200" s="10" t="str"/>
      <x:c r="O200" s="10" t="str"/>
      <x:c r="P200" s="7" t="n">
        <x:f>IF(LEN(N200)&gt;0,1,0)</x:f>
        <x:v>0</x:v>
      </x:c>
    </x:row>
    <x:row r="201" ht="47.25" customHeight="1">
      <x:c r="A201" s="8" t="str">
        <x:v>TC-BR-OFF-03-B</x:v>
      </x:c>
      <x:c r="B201" s="8" t="str">
        <x:v>BR-OFF-03</x:v>
      </x:c>
      <x:c r="C201" s="8" t="str">
        <x:v>FR-OFF-03</x:v>
      </x:c>
      <x:c r="D201" s="8" t="str">
        <x:v>Controlled offline authority adverse condition</x:v>
      </x:c>
      <x:c r="E201" s="8" t="str">
        <x:v>Negative or recovery</x:v>
      </x:c>
      <x:c r="F201" s="8" t="str">
        <x:v>Must</x:v>
      </x:c>
      <x:c r="G201" s="8" t="str">
        <x:v>R1</x:v>
      </x:c>
      <x:c r="H201" s="8" t="str">
        <x:v>FX-OFF-03-NEG</x:v>
      </x:c>
      <x:c r="I201" s="8" t="str">
        <x:v>Isolated synthetic tenant; begin from the corresponding acceptance scenario; inject only the named adverse condition.</x:v>
      </x:c>
      <x:c r="J201" s="8" t="str">
        <x:v>1. Establish the normal precondition. 2. Move the device clock backwards after lease expiry; private records remain locked. 3. Inspect user state, side effects, audit and any recovery queue.</x:v>
      </x:c>
      <x:c r="K201" s="8" t="str">
        <x:v>Move the device clock backwards after lease expiry; private records remain locked. Evidence must show the actual final state and any accountable unresolved work.</x:v>
      </x:c>
      <x:c r="L201" s="10" t="str">
        <x:v>Not run</x:v>
      </x:c>
      <x:c r="M201" s="10" t="str">
        <x:v>QA with Frontline worker</x:v>
      </x:c>
      <x:c r="N201" s="10" t="str"/>
      <x:c r="O201" s="10" t="str"/>
      <x:c r="P201" s="8" t="n">
        <x:f>IF(LEN(N201)&gt;0,1,0)</x:f>
        <x:v>0</x:v>
      </x:c>
    </x:row>
    <x:row r="202" ht="47.25" customHeight="1">
      <x:c r="A202" s="7" t="str">
        <x:v>TC-BR-OFF-04-A</x:v>
      </x:c>
      <x:c r="B202" s="7" t="str">
        <x:v>BR-OFF-04</x:v>
      </x:c>
      <x:c r="C202" s="7" t="str">
        <x:v>FR-OFF-04</x:v>
      </x:c>
      <x:c r="D202" s="7" t="str">
        <x:v>Pending media and AI work acceptance</x:v>
      </x:c>
      <x:c r="E202" s="7" t="str">
        <x:v>Functional</x:v>
      </x:c>
      <x:c r="F202" s="7" t="str">
        <x:v>Must</x:v>
      </x:c>
      <x:c r="G202" s="7" t="str">
        <x:v>R1</x:v>
      </x:c>
      <x:c r="H202" s="7" t="str">
        <x:v>FX-OFF-04</x:v>
      </x:c>
      <x:c r="I202" s="7" t="str">
        <x:v>Synthetic tenant A; verified actor with intended scope; relevant pack and connector test profile active; reset fixture before execution.</x:v>
      </x:c>
      <x:c r="J202" s="7" t="str">
        <x:v>1. Load FX-OFF-04. 2. Pending media carries its purpose, consent reference, capability version and expiry; all are rechecked before upload. 3. Capture UI/API results and stored receipt or audit evidence.</x:v>
      </x:c>
      <x:c r="K202" s="7" t="str">
        <x:v>An offline request is cancelled or routed for review when its permission expires or its capability is suspended before upload.</x:v>
      </x:c>
      <x:c r="L202" s="10" t="str">
        <x:v>Not run</x:v>
      </x:c>
      <x:c r="M202" s="10" t="str">
        <x:v>QA with Frontline worker</x:v>
      </x:c>
      <x:c r="N202" s="10" t="str"/>
      <x:c r="O202" s="10" t="str"/>
      <x:c r="P202" s="7" t="n">
        <x:f>IF(LEN(N202)&gt;0,1,0)</x:f>
        <x:v>0</x:v>
      </x:c>
    </x:row>
    <x:row r="203" ht="47.25" customHeight="1">
      <x:c r="A203" s="8" t="str">
        <x:v>TC-BR-OFF-04-B</x:v>
      </x:c>
      <x:c r="B203" s="8" t="str">
        <x:v>BR-OFF-04</x:v>
      </x:c>
      <x:c r="C203" s="8" t="str">
        <x:v>FR-OFF-04</x:v>
      </x:c>
      <x:c r="D203" s="8" t="str">
        <x:v>Pending media and AI work adverse condition</x:v>
      </x:c>
      <x:c r="E203" s="8" t="str">
        <x:v>Negative or recovery</x:v>
      </x:c>
      <x:c r="F203" s="8" t="str">
        <x:v>Must</x:v>
      </x:c>
      <x:c r="G203" s="8" t="str">
        <x:v>R1</x:v>
      </x:c>
      <x:c r="H203" s="8" t="str">
        <x:v>FX-OFF-04-NEG</x:v>
      </x:c>
      <x:c r="I203" s="8" t="str">
        <x:v>Isolated synthetic tenant; begin from the corresponding acceptance scenario; inject only the named adverse condition.</x:v>
      </x:c>
      <x:c r="J203" s="8" t="str">
        <x:v>1. Establish the normal precondition. 2. Withdraw optional media permission while offline; reconnect must cancel the upload. 3. Inspect user state, side effects, audit and any recovery queue.</x:v>
      </x:c>
      <x:c r="K203" s="8" t="str">
        <x:v>Withdraw optional media permission while offline; reconnect must cancel the upload. Evidence must show the actual final state and any accountable unresolved work.</x:v>
      </x:c>
      <x:c r="L203" s="10" t="str">
        <x:v>Not run</x:v>
      </x:c>
      <x:c r="M203" s="10" t="str">
        <x:v>QA with Frontline worker</x:v>
      </x:c>
      <x:c r="N203" s="10" t="str"/>
      <x:c r="O203" s="10" t="str"/>
      <x:c r="P203" s="8" t="n">
        <x:f>IF(LEN(N203)&gt;0,1,0)</x:f>
        <x:v>0</x:v>
      </x:c>
    </x:row>
    <x:row r="204" ht="47.25" customHeight="1">
      <x:c r="A204" s="7" t="str">
        <x:v>TC-BR-OFF-05-A</x:v>
      </x:c>
      <x:c r="B204" s="7" t="str">
        <x:v>BR-OFF-05</x:v>
      </x:c>
      <x:c r="C204" s="7" t="str">
        <x:v>FR-OFF-05</x:v>
      </x:c>
      <x:c r="D204" s="7" t="str">
        <x:v>Safe synchronisation ordering acceptance</x:v>
      </x:c>
      <x:c r="E204" s="7" t="str">
        <x:v>Functional</x:v>
      </x:c>
      <x:c r="F204" s="7" t="str">
        <x:v>Must</x:v>
      </x:c>
      <x:c r="G204" s="7" t="str">
        <x:v>R1</x:v>
      </x:c>
      <x:c r="H204" s="7" t="str">
        <x:v>FX-OFF-05</x:v>
      </x:c>
      <x:c r="I204" s="7" t="str">
        <x:v>Synthetic tenant A; verified actor with intended scope; relevant pack and connector test profile active; reset fixture before execution.</x:v>
      </x:c>
      <x:c r="J204" s="7" t="str">
        <x:v>1. Load FX-OFF-05. 2. Sync envelopes include command ID, dependencies, base version and local sequence; per-item results return independently. 3. Capture UI/API results and stored receipt or audit evidence.</x:v>
      </x:c>
      <x:c r="K204" s="7" t="str">
        <x:v>A new local person, encounter and referral synchronise without orphan records across repeated connection loss and restoration.</x:v>
      </x:c>
      <x:c r="L204" s="10" t="str">
        <x:v>Not run</x:v>
      </x:c>
      <x:c r="M204" s="10" t="str">
        <x:v>QA with Frontline worker</x:v>
      </x:c>
      <x:c r="N204" s="10" t="str"/>
      <x:c r="O204" s="10" t="str"/>
      <x:c r="P204" s="7" t="n">
        <x:f>IF(LEN(N204)&gt;0,1,0)</x:f>
        <x:v>0</x:v>
      </x:c>
    </x:row>
    <x:row r="205" ht="47.25" customHeight="1">
      <x:c r="A205" s="8" t="str">
        <x:v>TC-BR-OFF-05-B</x:v>
      </x:c>
      <x:c r="B205" s="8" t="str">
        <x:v>BR-OFF-05</x:v>
      </x:c>
      <x:c r="C205" s="8" t="str">
        <x:v>FR-OFF-05</x:v>
      </x:c>
      <x:c r="D205" s="8" t="str">
        <x:v>Safe synchronisation ordering adverse condition</x:v>
      </x:c>
      <x:c r="E205" s="8" t="str">
        <x:v>Negative or recovery</x:v>
      </x:c>
      <x:c r="F205" s="8" t="str">
        <x:v>Must</x:v>
      </x:c>
      <x:c r="G205" s="8" t="str">
        <x:v>R1</x:v>
      </x:c>
      <x:c r="H205" s="8" t="str">
        <x:v>FX-OFF-05-NEG</x:v>
      </x:c>
      <x:c r="I205" s="8" t="str">
        <x:v>Isolated synthetic tenant; begin from the corresponding acceptance scenario; inject only the named adverse condition.</x:v>
      </x:c>
      <x:c r="J205" s="8" t="str">
        <x:v>1. Establish the normal precondition. 2. Send a referral before its new person dependency; server returns dependency pending without orphan records. 3. Inspect user state, side effects, audit and any recovery queue.</x:v>
      </x:c>
      <x:c r="K205" s="8" t="str">
        <x:v>Send a referral before its new person dependency; server returns dependency pending without orphan records. Evidence must show the actual final state and any accountable unresolved work.</x:v>
      </x:c>
      <x:c r="L205" s="10" t="str">
        <x:v>Not run</x:v>
      </x:c>
      <x:c r="M205" s="10" t="str">
        <x:v>QA with Frontline worker</x:v>
      </x:c>
      <x:c r="N205" s="10" t="str"/>
      <x:c r="O205" s="10" t="str"/>
      <x:c r="P205" s="8" t="n">
        <x:f>IF(LEN(N205)&gt;0,1,0)</x:f>
        <x:v>0</x:v>
      </x:c>
    </x:row>
    <x:row r="206" ht="47.25" customHeight="1">
      <x:c r="A206" s="7" t="str">
        <x:v>TC-BR-OFF-06-A</x:v>
      </x:c>
      <x:c r="B206" s="7" t="str">
        <x:v>BR-OFF-06</x:v>
      </x:c>
      <x:c r="C206" s="7" t="str">
        <x:v>FR-OFF-06</x:v>
      </x:c>
      <x:c r="D206" s="7" t="str">
        <x:v>Revalidation of delayed actions acceptance</x:v>
      </x:c>
      <x:c r="E206" s="7" t="str">
        <x:v>Functional</x:v>
      </x:c>
      <x:c r="F206" s="7" t="str">
        <x:v>Must</x:v>
      </x:c>
      <x:c r="G206" s="7" t="str">
        <x:v>R1</x:v>
      </x:c>
      <x:c r="H206" s="7" t="str">
        <x:v>FX-OFF-06</x:v>
      </x:c>
      <x:c r="I206" s="7" t="str">
        <x:v>Synthetic tenant A; verified actor with intended scope; relevant pack and connector test profile active; reset fixture before execution.</x:v>
      </x:c>
      <x:c r="J206" s="7" t="str">
        <x:v>1. Load FX-OFF-06. 2. Delayed commands recheck active assignment, patient link, clinical freshness, pack version and recipient permission. 3. Capture UI/API results and stored receipt or audit evidence.</x:v>
      </x:c>
      <x:c r="K206" s="7" t="str">
        <x:v>A material rule or data change places the action into review with an explanation instead of silently executing the old plan.</x:v>
      </x:c>
      <x:c r="L206" s="10" t="str">
        <x:v>Not run</x:v>
      </x:c>
      <x:c r="M206" s="10" t="str">
        <x:v>QA with Frontline worker</x:v>
      </x:c>
      <x:c r="N206" s="10" t="str"/>
      <x:c r="O206" s="10" t="str"/>
      <x:c r="P206" s="7" t="n">
        <x:f>IF(LEN(N206)&gt;0,1,0)</x:f>
        <x:v>0</x:v>
      </x:c>
    </x:row>
    <x:row r="207" ht="47.25" customHeight="1">
      <x:c r="A207" s="8" t="str">
        <x:v>TC-BR-OFF-06-B</x:v>
      </x:c>
      <x:c r="B207" s="8" t="str">
        <x:v>BR-OFF-06</x:v>
      </x:c>
      <x:c r="C207" s="8" t="str">
        <x:v>FR-OFF-06</x:v>
      </x:c>
      <x:c r="D207" s="8" t="str">
        <x:v>Revalidation of delayed actions adverse condition</x:v>
      </x:c>
      <x:c r="E207" s="8" t="str">
        <x:v>Negative or recovery</x:v>
      </x:c>
      <x:c r="F207" s="8" t="str">
        <x:v>Must</x:v>
      </x:c>
      <x:c r="G207" s="8" t="str">
        <x:v>R1</x:v>
      </x:c>
      <x:c r="H207" s="8" t="str">
        <x:v>FX-OFF-06-NEG</x:v>
      </x:c>
      <x:c r="I207" s="8" t="str">
        <x:v>Isolated synthetic tenant; begin from the corresponding acceptance scenario; inject only the named adverse condition.</x:v>
      </x:c>
      <x:c r="J207" s="8" t="str">
        <x:v>1. Establish the normal precondition. 2. Queue an action then transfer the worker or retire the pack; require review or deny execution. 3. Inspect user state, side effects, audit and any recovery queue.</x:v>
      </x:c>
      <x:c r="K207" s="8" t="str">
        <x:v>Queue an action then transfer the worker or retire the pack; require review or deny execution. Evidence must show the actual final state and any accountable unresolved work.</x:v>
      </x:c>
      <x:c r="L207" s="10" t="str">
        <x:v>Not run</x:v>
      </x:c>
      <x:c r="M207" s="10" t="str">
        <x:v>QA with Frontline worker</x:v>
      </x:c>
      <x:c r="N207" s="10" t="str"/>
      <x:c r="O207" s="10" t="str"/>
      <x:c r="P207" s="8" t="n">
        <x:f>IF(LEN(N207)&gt;0,1,0)</x:f>
        <x:v>0</x:v>
      </x:c>
    </x:row>
    <x:row r="208" ht="47.25" customHeight="1">
      <x:c r="A208" s="7" t="str">
        <x:v>TC-BR-OFF-07-A</x:v>
      </x:c>
      <x:c r="B208" s="7" t="str">
        <x:v>BR-OFF-07</x:v>
      </x:c>
      <x:c r="C208" s="7" t="str">
        <x:v>FR-OFF-07</x:v>
      </x:c>
      <x:c r="D208" s="7" t="str">
        <x:v>Shared and lost devices acceptance</x:v>
      </x:c>
      <x:c r="E208" s="7" t="str">
        <x:v>Functional</x:v>
      </x:c>
      <x:c r="F208" s="7" t="str">
        <x:v>Must</x:v>
      </x:c>
      <x:c r="G208" s="7" t="str">
        <x:v>R1</x:v>
      </x:c>
      <x:c r="H208" s="7" t="str">
        <x:v>FX-OFF-07</x:v>
      </x:c>
      <x:c r="I208" s="7" t="str">
        <x:v>Synthetic tenant A; verified actor with intended scope; relevant pack and connector test profile active; reset fixture before execution.</x:v>
      </x:c>
      <x:c r="J208" s="7" t="str">
        <x:v>1. Load FX-OFF-07. 2. Device switching clears decrypted memory and locks the cache. Remote revocation is enforced on next contact or lease expiry. 3. Capture UI/API results and stored receipt or audit evidence.</x:v>
      </x:c>
      <x:c r="K208" s="7" t="str">
        <x:v>A second user cannot view the first user's cached records, and a reported lost device loses server access on its next contact.</x:v>
      </x:c>
      <x:c r="L208" s="10" t="str">
        <x:v>Not run</x:v>
      </x:c>
      <x:c r="M208" s="10" t="str">
        <x:v>QA with Frontline worker</x:v>
      </x:c>
      <x:c r="N208" s="10" t="str"/>
      <x:c r="O208" s="10" t="str"/>
      <x:c r="P208" s="7" t="n">
        <x:f>IF(LEN(N208)&gt;0,1,0)</x:f>
        <x:v>0</x:v>
      </x:c>
    </x:row>
    <x:row r="209" ht="47.25" customHeight="1">
      <x:c r="A209" s="8" t="str">
        <x:v>TC-BR-OFF-07-B</x:v>
      </x:c>
      <x:c r="B209" s="8" t="str">
        <x:v>BR-OFF-07</x:v>
      </x:c>
      <x:c r="C209" s="8" t="str">
        <x:v>FR-OFF-07</x:v>
      </x:c>
      <x:c r="D209" s="8" t="str">
        <x:v>Shared and lost devices adverse condition</x:v>
      </x:c>
      <x:c r="E209" s="8" t="str">
        <x:v>Negative or recovery</x:v>
      </x:c>
      <x:c r="F209" s="8" t="str">
        <x:v>Must</x:v>
      </x:c>
      <x:c r="G209" s="8" t="str">
        <x:v>R1</x:v>
      </x:c>
      <x:c r="H209" s="8" t="str">
        <x:v>FX-OFF-07-NEG</x:v>
      </x:c>
      <x:c r="I209" s="8" t="str">
        <x:v>Isolated synthetic tenant; begin from the corresponding acceptance scenario; inject only the named adverse condition.</x:v>
      </x:c>
      <x:c r="J209" s="8" t="str">
        <x:v>1. Establish the normal precondition. 2. Sign in as another user on the same phone; no prior user records or notification content may leak. 3. Inspect user state, side effects, audit and any recovery queue.</x:v>
      </x:c>
      <x:c r="K209" s="8" t="str">
        <x:v>Sign in as another user on the same phone; no prior user records or notification content may leak. Evidence must show the actual final state and any accountable unresolved work.</x:v>
      </x:c>
      <x:c r="L209" s="10" t="str">
        <x:v>Not run</x:v>
      </x:c>
      <x:c r="M209" s="10" t="str">
        <x:v>QA with Frontline worker</x:v>
      </x:c>
      <x:c r="N209" s="10" t="str"/>
      <x:c r="O209" s="10" t="str"/>
      <x:c r="P209" s="8" t="n">
        <x:f>IF(LEN(N209)&gt;0,1,0)</x:f>
        <x:v>0</x:v>
      </x:c>
    </x:row>
    <x:row r="210" ht="47.25" customHeight="1">
      <x:c r="A210" s="7" t="str">
        <x:v>TC-BR-OFF-08-A</x:v>
      </x:c>
      <x:c r="B210" s="7" t="str">
        <x:v>BR-OFF-08</x:v>
      </x:c>
      <x:c r="C210" s="7" t="str">
        <x:v>FR-OFF-08</x:v>
      </x:c>
      <x:c r="D210" s="7" t="str">
        <x:v>Offline workflow capacity acceptance</x:v>
      </x:c>
      <x:c r="E210" s="7" t="str">
        <x:v>Functional</x:v>
      </x:c>
      <x:c r="F210" s="7" t="str">
        <x:v>Must</x:v>
      </x:c>
      <x:c r="G210" s="7" t="str">
        <x:v>R1</x:v>
      </x:c>
      <x:c r="H210" s="7" t="str">
        <x:v>FX-OFF-08</x:v>
      </x:c>
      <x:c r="I210" s="7" t="str">
        <x:v>Synthetic tenant A; verified actor with intended scope; relevant pack and connector test profile active; reset fixture before execution.</x:v>
      </x:c>
      <x:c r="J210" s="7" t="str">
        <x:v>1. Load FX-OFF-08. 2. Capacity reserves space for structured records before new media. Pending work is never evicted for cache refresh. 3. Capture UI/API results and stored receipt or audit evidence.</x:v>
      </x:c>
      <x:c r="K210" s="7" t="str">
        <x:v>A capacity test reaches the agreed limit, warns before exhaustion and preserves every acknowledged record.</x:v>
      </x:c>
      <x:c r="L210" s="10" t="str">
        <x:v>Not run</x:v>
      </x:c>
      <x:c r="M210" s="10" t="str">
        <x:v>QA with Frontline worker</x:v>
      </x:c>
      <x:c r="N210" s="10" t="str"/>
      <x:c r="O210" s="10" t="str"/>
      <x:c r="P210" s="7" t="n">
        <x:f>IF(LEN(N210)&gt;0,1,0)</x:f>
        <x:v>0</x:v>
      </x:c>
    </x:row>
    <x:row r="211" ht="47.25" customHeight="1">
      <x:c r="A211" s="8" t="str">
        <x:v>TC-BR-OFF-08-B</x:v>
      </x:c>
      <x:c r="B211" s="8" t="str">
        <x:v>BR-OFF-08</x:v>
      </x:c>
      <x:c r="C211" s="8" t="str">
        <x:v>FR-OFF-08</x:v>
      </x:c>
      <x:c r="D211" s="8" t="str">
        <x:v>Offline workflow capacity adverse condition</x:v>
      </x:c>
      <x:c r="E211" s="8" t="str">
        <x:v>Negative or recovery</x:v>
      </x:c>
      <x:c r="F211" s="8" t="str">
        <x:v>Must</x:v>
      </x:c>
      <x:c r="G211" s="8" t="str">
        <x:v>R1</x:v>
      </x:c>
      <x:c r="H211" s="8" t="str">
        <x:v>FX-OFF-08-NEG</x:v>
      </x:c>
      <x:c r="I211" s="8" t="str">
        <x:v>Isolated synthetic tenant; begin from the corresponding acceptance scenario; inject only the named adverse condition.</x:v>
      </x:c>
      <x:c r="J211" s="8" t="str">
        <x:v>1. Establish the normal precondition. 2. Reach the media quota during a 200-encounter queue; preserve existing acknowledged work and show actionable capacity status. 3. Inspect user state, side effects, audit and any recovery queue.</x:v>
      </x:c>
      <x:c r="K211" s="8" t="str">
        <x:v>Reach the media quota during a 200-encounter queue; preserve existing acknowledged work and show actionable capacity status. Evidence must show the actual final state and any accountable unresolved work.</x:v>
      </x:c>
      <x:c r="L211" s="10" t="str">
        <x:v>Not run</x:v>
      </x:c>
      <x:c r="M211" s="10" t="str">
        <x:v>QA with Frontline worker</x:v>
      </x:c>
      <x:c r="N211" s="10" t="str"/>
      <x:c r="O211" s="10" t="str"/>
      <x:c r="P211" s="8" t="n">
        <x:f>IF(LEN(N211)&gt;0,1,0)</x:f>
        <x:v>0</x:v>
      </x:c>
    </x:row>
    <x:row r="212" ht="47.25" customHeight="1">
      <x:c r="A212" s="7" t="str">
        <x:v>TC-BR-CARE-01-A</x:v>
      </x:c>
      <x:c r="B212" s="7" t="str">
        <x:v>BR-CARE-01</x:v>
      </x:c>
      <x:c r="C212" s="7" t="str">
        <x:v>FR-CARE-01</x:v>
      </x:c>
      <x:c r="D212" s="7" t="str">
        <x:v>Action ownership acceptance</x:v>
      </x:c>
      <x:c r="E212" s="7" t="str">
        <x:v>Functional</x:v>
      </x:c>
      <x:c r="F212" s="7" t="str">
        <x:v>Must</x:v>
      </x:c>
      <x:c r="G212" s="7" t="str">
        <x:v>R1</x:v>
      </x:c>
      <x:c r="H212" s="7" t="str">
        <x:v>FX-CARE-01</x:v>
      </x:c>
      <x:c r="I212" s="7" t="str">
        <x:v>Synthetic tenant A; verified actor with intended scope; relevant pack and connector test profile active; reset fixture before execution.</x:v>
      </x:c>
      <x:c r="J212" s="7" t="str">
        <x:v>1. Load FX-CARE-01. 2. Task creation requires an owner or a monitored assignment queue with a service-level escalation rule. 3. Capture UI/API results and stored receipt or audit evidence.</x:v>
      </x:c>
      <x:c r="K212" s="7" t="str">
        <x:v>No active urgent task can exist without a visible responsible queue or assignee.</x:v>
      </x:c>
      <x:c r="L212" s="10" t="str">
        <x:v>Not run</x:v>
      </x:c>
      <x:c r="M212" s="10" t="str">
        <x:v>QA with Worker clinician and supervisor</x:v>
      </x:c>
      <x:c r="N212" s="10" t="str"/>
      <x:c r="O212" s="10" t="str"/>
      <x:c r="P212" s="7" t="n">
        <x:f>IF(LEN(N212)&gt;0,1,0)</x:f>
        <x:v>0</x:v>
      </x:c>
    </x:row>
    <x:row r="213" ht="47.25" customHeight="1">
      <x:c r="A213" s="8" t="str">
        <x:v>TC-BR-CARE-01-B</x:v>
      </x:c>
      <x:c r="B213" s="8" t="str">
        <x:v>BR-CARE-01</x:v>
      </x:c>
      <x:c r="C213" s="8" t="str">
        <x:v>FR-CARE-01</x:v>
      </x:c>
      <x:c r="D213" s="8" t="str">
        <x:v>Action ownership adverse condition</x:v>
      </x:c>
      <x:c r="E213" s="8" t="str">
        <x:v>Negative or recovery</x:v>
      </x:c>
      <x:c r="F213" s="8" t="str">
        <x:v>Must</x:v>
      </x:c>
      <x:c r="G213" s="8" t="str">
        <x:v>R1</x:v>
      </x:c>
      <x:c r="H213" s="8" t="str">
        <x:v>FX-CARE-01-NEG</x:v>
      </x:c>
      <x:c r="I213" s="8" t="str">
        <x:v>Isolated synthetic tenant; begin from the corresponding acceptance scenario; inject only the named adverse condition.</x:v>
      </x:c>
      <x:c r="J213" s="8" t="str">
        <x:v>1. Establish the normal precondition. 2. Remove a task owner during transfer; the task must enter a visible responsible queue. 3. Inspect user state, side effects, audit and any recovery queue.</x:v>
      </x:c>
      <x:c r="K213" s="8" t="str">
        <x:v>Remove a task owner during transfer; the task must enter a visible responsible queue. Evidence must show the actual final state and any accountable unresolved work.</x:v>
      </x:c>
      <x:c r="L213" s="10" t="str">
        <x:v>Not run</x:v>
      </x:c>
      <x:c r="M213" s="10" t="str">
        <x:v>QA with Worker clinician and supervisor</x:v>
      </x:c>
      <x:c r="N213" s="10" t="str"/>
      <x:c r="O213" s="10" t="str"/>
      <x:c r="P213" s="8" t="n">
        <x:f>IF(LEN(N213)&gt;0,1,0)</x:f>
        <x:v>0</x:v>
      </x:c>
    </x:row>
    <x:row r="214" ht="47.25" customHeight="1">
      <x:c r="A214" s="7" t="str">
        <x:v>TC-BR-CARE-02-A</x:v>
      </x:c>
      <x:c r="B214" s="7" t="str">
        <x:v>BR-CARE-02</x:v>
      </x:c>
      <x:c r="C214" s="7" t="str">
        <x:v>FR-CARE-02</x:v>
      </x:c>
      <x:c r="D214" s="7" t="str">
        <x:v>Service directory acceptance</x:v>
      </x:c>
      <x:c r="E214" s="7" t="str">
        <x:v>Functional</x:v>
      </x:c>
      <x:c r="F214" s="7" t="str">
        <x:v>Must</x:v>
      </x:c>
      <x:c r="G214" s="7" t="str">
        <x:v>R1</x:v>
      </x:c>
      <x:c r="H214" s="7" t="str">
        <x:v>FX-CARE-02</x:v>
      </x:c>
      <x:c r="I214" s="7" t="str">
        <x:v>Synthetic tenant A; verified actor with intended scope; relevant pack and connector test profile active; reset fixture before execution.</x:v>
      </x:c>
      <x:c r="J214" s="7" t="str">
        <x:v>1. Load FX-CARE-02. 2. Directory entries require last_verified_at and supported services; expired availability is labelled and escalated. 3. Capture UI/API results and stored receipt or audit evidence.</x:v>
      </x:c>
      <x:c r="K214" s="7" t="str">
        <x:v>A stale or unavailable service listing is labelled and routes the worker to an approved alternative or supervisor.</x:v>
      </x:c>
      <x:c r="L214" s="10" t="str">
        <x:v>Not run</x:v>
      </x:c>
      <x:c r="M214" s="10" t="str">
        <x:v>QA with Worker clinician and supervisor</x:v>
      </x:c>
      <x:c r="N214" s="10" t="str"/>
      <x:c r="O214" s="10" t="str"/>
      <x:c r="P214" s="7" t="n">
        <x:f>IF(LEN(N214)&gt;0,1,0)</x:f>
        <x:v>0</x:v>
      </x:c>
    </x:row>
    <x:row r="215" ht="47.25" customHeight="1">
      <x:c r="A215" s="8" t="str">
        <x:v>TC-BR-CARE-02-B</x:v>
      </x:c>
      <x:c r="B215" s="8" t="str">
        <x:v>BR-CARE-02</x:v>
      </x:c>
      <x:c r="C215" s="8" t="str">
        <x:v>FR-CARE-02</x:v>
      </x:c>
      <x:c r="D215" s="8" t="str">
        <x:v>Service directory adverse condition</x:v>
      </x:c>
      <x:c r="E215" s="8" t="str">
        <x:v>Negative or recovery</x:v>
      </x:c>
      <x:c r="F215" s="8" t="str">
        <x:v>Must</x:v>
      </x:c>
      <x:c r="G215" s="8" t="str">
        <x:v>R1</x:v>
      </x:c>
      <x:c r="H215" s="8" t="str">
        <x:v>FX-CARE-02-NEG</x:v>
      </x:c>
      <x:c r="I215" s="8" t="str">
        <x:v>Isolated synthetic tenant; begin from the corresponding acceptance scenario; inject only the named adverse condition.</x:v>
      </x:c>
      <x:c r="J215" s="8" t="str">
        <x:v>1. Establish the normal precondition. 2. Select a stale or unavailable referral facility; the agent cannot invent a replacement service. 3. Inspect user state, side effects, audit and any recovery queue.</x:v>
      </x:c>
      <x:c r="K215" s="8" t="str">
        <x:v>Select a stale or unavailable referral facility; the agent cannot invent a replacement service. Evidence must show the actual final state and any accountable unresolved work.</x:v>
      </x:c>
      <x:c r="L215" s="10" t="str">
        <x:v>Not run</x:v>
      </x:c>
      <x:c r="M215" s="10" t="str">
        <x:v>QA with Worker clinician and supervisor</x:v>
      </x:c>
      <x:c r="N215" s="10" t="str"/>
      <x:c r="O215" s="10" t="str"/>
      <x:c r="P215" s="8" t="n">
        <x:f>IF(LEN(N215)&gt;0,1,0)</x:f>
        <x:v>0</x:v>
      </x:c>
    </x:row>
    <x:row r="216" ht="47.25" customHeight="1">
      <x:c r="A216" s="7" t="str">
        <x:v>TC-BR-CARE-03-A</x:v>
      </x:c>
      <x:c r="B216" s="7" t="str">
        <x:v>BR-CARE-03</x:v>
      </x:c>
      <x:c r="C216" s="7" t="str">
        <x:v>FR-CARE-03</x:v>
      </x:c>
      <x:c r="D216" s="7" t="str">
        <x:v>Referral lifecycle acceptance</x:v>
      </x:c>
      <x:c r="E216" s="7" t="str">
        <x:v>Functional</x:v>
      </x:c>
      <x:c r="F216" s="7" t="str">
        <x:v>Must</x:v>
      </x:c>
      <x:c r="G216" s="7" t="str">
        <x:v>R1</x:v>
      </x:c>
      <x:c r="H216" s="7" t="str">
        <x:v>FX-CARE-03</x:v>
      </x:c>
      <x:c r="I216" s="7" t="str">
        <x:v>Synthetic tenant A; verified actor with intended scope; relevant pack and connector test profile active; reset fixture before execution.</x:v>
      </x:c>
      <x:c r="J216" s="7" t="str">
        <x:v>1. Load FX-CARE-03. 2. Referral transitions attach evidence_type, evidence_ref and verifying actor; closure needs outcome or coded unresolved disposition. 3. Capture UI/API results and stored receipt or audit evidence.</x:v>
      </x:c>
      <x:c r="K216" s="7" t="str">
        <x:v>Completion requires a defined evidence source and actor; unsupported closure attempts are rejected.</x:v>
      </x:c>
      <x:c r="L216" s="10" t="str">
        <x:v>Not run</x:v>
      </x:c>
      <x:c r="M216" s="10" t="str">
        <x:v>QA with Worker clinician and supervisor</x:v>
      </x:c>
      <x:c r="N216" s="10" t="str"/>
      <x:c r="O216" s="10" t="str"/>
      <x:c r="P216" s="7" t="n">
        <x:f>IF(LEN(N216)&gt;0,1,0)</x:f>
        <x:v>0</x:v>
      </x:c>
    </x:row>
    <x:row r="217" ht="47.25" customHeight="1">
      <x:c r="A217" s="8" t="str">
        <x:v>TC-BR-CARE-03-B</x:v>
      </x:c>
      <x:c r="B217" s="8" t="str">
        <x:v>BR-CARE-03</x:v>
      </x:c>
      <x:c r="C217" s="8" t="str">
        <x:v>FR-CARE-03</x:v>
      </x:c>
      <x:c r="D217" s="8" t="str">
        <x:v>Referral lifecycle adverse condition</x:v>
      </x:c>
      <x:c r="E217" s="8" t="str">
        <x:v>Negative or recovery</x:v>
      </x:c>
      <x:c r="F217" s="8" t="str">
        <x:v>Must</x:v>
      </x:c>
      <x:c r="G217" s="8" t="str">
        <x:v>R1</x:v>
      </x:c>
      <x:c r="H217" s="8" t="str">
        <x:v>FX-CARE-03-NEG</x:v>
      </x:c>
      <x:c r="I217" s="8" t="str">
        <x:v>Isolated synthetic tenant; begin from the corresponding acceptance scenario; inject only the named adverse condition.</x:v>
      </x:c>
      <x:c r="J217" s="8" t="str">
        <x:v>1. Establish the normal precondition. 2. Mark a sent message as completed care; reject the transition. 3. Inspect user state, side effects, audit and any recovery queue.</x:v>
      </x:c>
      <x:c r="K217" s="8" t="str">
        <x:v>Mark a sent message as completed care; reject the transition. Evidence must show the actual final state and any accountable unresolved work.</x:v>
      </x:c>
      <x:c r="L217" s="10" t="str">
        <x:v>Not run</x:v>
      </x:c>
      <x:c r="M217" s="10" t="str">
        <x:v>QA with Worker clinician and supervisor</x:v>
      </x:c>
      <x:c r="N217" s="10" t="str"/>
      <x:c r="O217" s="10" t="str"/>
      <x:c r="P217" s="8" t="n">
        <x:f>IF(LEN(N217)&gt;0,1,0)</x:f>
        <x:v>0</x:v>
      </x:c>
    </x:row>
    <x:row r="218" ht="47.25" customHeight="1">
      <x:c r="A218" s="7" t="str">
        <x:v>TC-BR-CARE-04-A</x:v>
      </x:c>
      <x:c r="B218" s="7" t="str">
        <x:v>BR-CARE-04</x:v>
      </x:c>
      <x:c r="C218" s="7" t="str">
        <x:v>FR-CARE-04</x:v>
      </x:c>
      <x:c r="D218" s="7" t="str">
        <x:v>Due work and escalation acceptance</x:v>
      </x:c>
      <x:c r="E218" s="7" t="str">
        <x:v>Functional</x:v>
      </x:c>
      <x:c r="F218" s="7" t="str">
        <x:v>Must</x:v>
      </x:c>
      <x:c r="G218" s="7" t="str">
        <x:v>R1</x:v>
      </x:c>
      <x:c r="H218" s="7" t="str">
        <x:v>FX-CARE-04</x:v>
      </x:c>
      <x:c r="I218" s="7" t="str">
        <x:v>Synthetic tenant A; verified actor with intended scope; relevant pack and connector test profile active; reset fixture before execution.</x:v>
      </x:c>
      <x:c r="J218" s="7" t="str">
        <x:v>1. Load FX-CARE-04. 2. Due-work calculations record schedule version and timezone; escalation retains prior owner and reason for delay. 3. Capture UI/API results and stored receipt or audit evidence.</x:v>
      </x:c>
      <x:c r="K218" s="7" t="str">
        <x:v>An overdue case enters the correct supervisor queue and remains visible until completion or a documented resolution.</x:v>
      </x:c>
      <x:c r="L218" s="10" t="str">
        <x:v>Not run</x:v>
      </x:c>
      <x:c r="M218" s="10" t="str">
        <x:v>QA with Worker clinician and supervisor</x:v>
      </x:c>
      <x:c r="N218" s="10" t="str"/>
      <x:c r="O218" s="10" t="str"/>
      <x:c r="P218" s="7" t="n">
        <x:f>IF(LEN(N218)&gt;0,1,0)</x:f>
        <x:v>0</x:v>
      </x:c>
    </x:row>
    <x:row r="219" ht="47.25" customHeight="1">
      <x:c r="A219" s="8" t="str">
        <x:v>TC-BR-CARE-04-B</x:v>
      </x:c>
      <x:c r="B219" s="8" t="str">
        <x:v>BR-CARE-04</x:v>
      </x:c>
      <x:c r="C219" s="8" t="str">
        <x:v>FR-CARE-04</x:v>
      </x:c>
      <x:c r="D219" s="8" t="str">
        <x:v>Due work and escalation adverse condition</x:v>
      </x:c>
      <x:c r="E219" s="8" t="str">
        <x:v>Negative or recovery</x:v>
      </x:c>
      <x:c r="F219" s="8" t="str">
        <x:v>Must</x:v>
      </x:c>
      <x:c r="G219" s="8" t="str">
        <x:v>R1</x:v>
      </x:c>
      <x:c r="H219" s="8" t="str">
        <x:v>FX-CARE-04-NEG</x:v>
      </x:c>
      <x:c r="I219" s="8" t="str">
        <x:v>Isolated synthetic tenant; begin from the corresponding acceptance scenario; inject only the named adverse condition.</x:v>
      </x:c>
      <x:c r="J219" s="8" t="str">
        <x:v>1. Establish the normal precondition. 2. A late incoming result resolves a task after escalation; reconcile ownership without duplicate follow-up. 3. Inspect user state, side effects, audit and any recovery queue.</x:v>
      </x:c>
      <x:c r="K219" s="8" t="str">
        <x:v>A late incoming result resolves a task after escalation; reconcile ownership without duplicate follow-up. Evidence must show the actual final state and any accountable unresolved work.</x:v>
      </x:c>
      <x:c r="L219" s="10" t="str">
        <x:v>Not run</x:v>
      </x:c>
      <x:c r="M219" s="10" t="str">
        <x:v>QA with Worker clinician and supervisor</x:v>
      </x:c>
      <x:c r="N219" s="10" t="str"/>
      <x:c r="O219" s="10" t="str"/>
      <x:c r="P219" s="8" t="n">
        <x:f>IF(LEN(N219)&gt;0,1,0)</x:f>
        <x:v>0</x:v>
      </x:c>
    </x:row>
    <x:row r="220" ht="47.25" customHeight="1">
      <x:c r="A220" s="7" t="str">
        <x:v>TC-BR-CARE-05-A</x:v>
      </x:c>
      <x:c r="B220" s="7" t="str">
        <x:v>BR-CARE-05</x:v>
      </x:c>
      <x:c r="C220" s="7" t="str">
        <x:v>FR-CARE-05</x:v>
      </x:c>
      <x:c r="D220" s="7" t="str">
        <x:v>Unified action plan acceptance</x:v>
      </x:c>
      <x:c r="E220" s="7" t="str">
        <x:v>Functional</x:v>
      </x:c>
      <x:c r="F220" s="7" t="str">
        <x:v>Must</x:v>
      </x:c>
      <x:c r="G220" s="7" t="str">
        <x:v>R1</x:v>
      </x:c>
      <x:c r="H220" s="7" t="str">
        <x:v>FX-CARE-05</x:v>
      </x:c>
      <x:c r="I220" s="7" t="str">
        <x:v>Synthetic tenant A; verified actor with intended scope; relevant pack and connector test profile active; reset fixture before execution.</x:v>
      </x:c>
      <x:c r="J220" s="7" t="str">
        <x:v>1. Load FX-CARE-05. 2. Deduplication joins only equivalent person, purpose, destination and time-window tasks and retains both programme links. 3. Capture UI/API results and stored receipt or audit evidence.</x:v>
      </x:c>
      <x:c r="K220" s="7" t="str">
        <x:v>Two packs generating the same approved referral create one referral with both source links and appropriate programme completion states.</x:v>
      </x:c>
      <x:c r="L220" s="10" t="str">
        <x:v>Not run</x:v>
      </x:c>
      <x:c r="M220" s="10" t="str">
        <x:v>QA with Worker clinician and supervisor</x:v>
      </x:c>
      <x:c r="N220" s="10" t="str"/>
      <x:c r="O220" s="10" t="str"/>
      <x:c r="P220" s="7" t="n">
        <x:f>IF(LEN(N220)&gt;0,1,0)</x:f>
        <x:v>0</x:v>
      </x:c>
    </x:row>
    <x:row r="221" ht="47.25" customHeight="1">
      <x:c r="A221" s="8" t="str">
        <x:v>TC-BR-CARE-05-B</x:v>
      </x:c>
      <x:c r="B221" s="8" t="str">
        <x:v>BR-CARE-05</x:v>
      </x:c>
      <x:c r="C221" s="8" t="str">
        <x:v>FR-CARE-05</x:v>
      </x:c>
      <x:c r="D221" s="8" t="str">
        <x:v>Unified action plan adverse condition</x:v>
      </x:c>
      <x:c r="E221" s="8" t="str">
        <x:v>Negative or recovery</x:v>
      </x:c>
      <x:c r="F221" s="8" t="str">
        <x:v>Must</x:v>
      </x:c>
      <x:c r="G221" s="8" t="str">
        <x:v>R1</x:v>
      </x:c>
      <x:c r="H221" s="8" t="str">
        <x:v>FX-CARE-05-NEG</x:v>
      </x:c>
      <x:c r="I221" s="8" t="str">
        <x:v>Isolated synthetic tenant; begin from the corresponding acceptance scenario; inject only the named adverse condition.</x:v>
      </x:c>
      <x:c r="J221" s="8" t="str">
        <x:v>1. Establish the normal precondition. 2. Two programmes need genuinely different follow-ups; do not collapse them into one task. 3. Inspect user state, side effects, audit and any recovery queue.</x:v>
      </x:c>
      <x:c r="K221" s="8" t="str">
        <x:v>Two programmes need genuinely different follow-ups; do not collapse them into one task. Evidence must show the actual final state and any accountable unresolved work.</x:v>
      </x:c>
      <x:c r="L221" s="10" t="str">
        <x:v>Not run</x:v>
      </x:c>
      <x:c r="M221" s="10" t="str">
        <x:v>QA with Worker clinician and supervisor</x:v>
      </x:c>
      <x:c r="N221" s="10" t="str"/>
      <x:c r="O221" s="10" t="str"/>
      <x:c r="P221" s="8" t="n">
        <x:f>IF(LEN(N221)&gt;0,1,0)</x:f>
        <x:v>0</x:v>
      </x:c>
    </x:row>
    <x:row r="222" ht="47.25" customHeight="1">
      <x:c r="A222" s="7" t="str">
        <x:v>TC-BR-CARE-06-A</x:v>
      </x:c>
      <x:c r="B222" s="7" t="str">
        <x:v>BR-CARE-06</x:v>
      </x:c>
      <x:c r="C222" s="7" t="str">
        <x:v>FR-CARE-06</x:v>
      </x:c>
      <x:c r="D222" s="7" t="str">
        <x:v>Safe communication preferences acceptance</x:v>
      </x:c>
      <x:c r="E222" s="7" t="str">
        <x:v>Functional</x:v>
      </x:c>
      <x:c r="F222" s="7" t="str">
        <x:v>Must</x:v>
      </x:c>
      <x:c r="G222" s="7" t="str">
        <x:v>R1</x:v>
      </x:c>
      <x:c r="H222" s="7" t="str">
        <x:v>FX-CARE-06</x:v>
      </x:c>
      <x:c r="I222" s="7" t="str">
        <x:v>Synthetic tenant A; verified actor with intended scope; relevant pack and connector test profile active; reset fixture before execution.</x:v>
      </x:c>
      <x:c r="J222" s="7" t="str">
        <x:v>1. Load FX-CARE-06. 2. Communication preferences are per person, purpose and channel, with shared-phone disclosure limits. 3. Capture UI/API results and stored receipt or audit evidence.</x:v>
      </x:c>
      <x:c r="K222" s="7" t="str">
        <x:v>A patient requesting private contact receives no revealing automated message through a household contact number.</x:v>
      </x:c>
      <x:c r="L222" s="10" t="str">
        <x:v>Not run</x:v>
      </x:c>
      <x:c r="M222" s="10" t="str">
        <x:v>QA with Worker clinician and supervisor</x:v>
      </x:c>
      <x:c r="N222" s="10" t="str"/>
      <x:c r="O222" s="10" t="str"/>
      <x:c r="P222" s="7" t="n">
        <x:f>IF(LEN(N222)&gt;0,1,0)</x:f>
        <x:v>0</x:v>
      </x:c>
    </x:row>
    <x:row r="223" ht="47.25" customHeight="1">
      <x:c r="A223" s="8" t="str">
        <x:v>TC-BR-CARE-06-B</x:v>
      </x:c>
      <x:c r="B223" s="8" t="str">
        <x:v>BR-CARE-06</x:v>
      </x:c>
      <x:c r="C223" s="8" t="str">
        <x:v>FR-CARE-06</x:v>
      </x:c>
      <x:c r="D223" s="8" t="str">
        <x:v>Safe communication preferences adverse condition</x:v>
      </x:c>
      <x:c r="E223" s="8" t="str">
        <x:v>Negative or recovery</x:v>
      </x:c>
      <x:c r="F223" s="8" t="str">
        <x:v>Must</x:v>
      </x:c>
      <x:c r="G223" s="8" t="str">
        <x:v>R1</x:v>
      </x:c>
      <x:c r="H223" s="8" t="str">
        <x:v>FX-CARE-06-NEG</x:v>
      </x:c>
      <x:c r="I223" s="8" t="str">
        <x:v>Isolated synthetic tenant; begin from the corresponding acceptance scenario; inject only the named adverse condition.</x:v>
      </x:c>
      <x:c r="J223" s="8" t="str">
        <x:v>1. Establish the normal precondition. 2. Request private follow-up on a shared household number; prevent revealing notifications. 3. Inspect user state, side effects, audit and any recovery queue.</x:v>
      </x:c>
      <x:c r="K223" s="8" t="str">
        <x:v>Request private follow-up on a shared household number; prevent revealing notifications. Evidence must show the actual final state and any accountable unresolved work.</x:v>
      </x:c>
      <x:c r="L223" s="10" t="str">
        <x:v>Not run</x:v>
      </x:c>
      <x:c r="M223" s="10" t="str">
        <x:v>QA with Worker clinician and supervisor</x:v>
      </x:c>
      <x:c r="N223" s="10" t="str"/>
      <x:c r="O223" s="10" t="str"/>
      <x:c r="P223" s="8" t="n">
        <x:f>IF(LEN(N223)&gt;0,1,0)</x:f>
        <x:v>0</x:v>
      </x:c>
    </x:row>
    <x:row r="224" ht="47.25" customHeight="1">
      <x:c r="A224" s="7" t="str">
        <x:v>TC-BR-CARE-07-A</x:v>
      </x:c>
      <x:c r="B224" s="7" t="str">
        <x:v>BR-CARE-07</x:v>
      </x:c>
      <x:c r="C224" s="7" t="str">
        <x:v>FR-CARE-07</x:v>
      </x:c>
      <x:c r="D224" s="7" t="str">
        <x:v>External messaging and scheduling acceptance</x:v>
      </x:c>
      <x:c r="E224" s="7" t="str">
        <x:v>Functional</x:v>
      </x:c>
      <x:c r="F224" s="7" t="str">
        <x:v>Should</x:v>
      </x:c>
      <x:c r="G224" s="7" t="str">
        <x:v>R2</x:v>
      </x:c>
      <x:c r="H224" s="7" t="str">
        <x:v>FX-CARE-07</x:v>
      </x:c>
      <x:c r="I224" s="7" t="str">
        <x:v>Synthetic tenant A; verified actor with intended scope; relevant pack and connector test profile active; reset fixture before execution.</x:v>
      </x:c>
      <x:c r="J224" s="7" t="str">
        <x:v>1. Load FX-CARE-07. 2. Channel adapters record delivery and opt-out status separately from patient acknowledgement or service completion. 3. Capture UI/API results and stored receipt or audit evidence.</x:v>
      </x:c>
      <x:c r="K224" s="7" t="str">
        <x:v>Delivery failure creates a retry or follow-up task and is not reported as patient acknowledgement.</x:v>
      </x:c>
      <x:c r="L224" s="10" t="str">
        <x:v>Not run</x:v>
      </x:c>
      <x:c r="M224" s="10" t="str">
        <x:v>QA with Worker clinician and supervisor</x:v>
      </x:c>
      <x:c r="N224" s="10" t="str"/>
      <x:c r="O224" s="10" t="str"/>
      <x:c r="P224" s="7" t="n">
        <x:f>IF(LEN(N224)&gt;0,1,0)</x:f>
        <x:v>0</x:v>
      </x:c>
    </x:row>
    <x:row r="225" ht="47.25" customHeight="1">
      <x:c r="A225" s="8" t="str">
        <x:v>TC-BR-CARE-07-B</x:v>
      </x:c>
      <x:c r="B225" s="8" t="str">
        <x:v>BR-CARE-07</x:v>
      </x:c>
      <x:c r="C225" s="8" t="str">
        <x:v>FR-CARE-07</x:v>
      </x:c>
      <x:c r="D225" s="8" t="str">
        <x:v>External messaging and scheduling adverse condition</x:v>
      </x:c>
      <x:c r="E225" s="8" t="str">
        <x:v>Negative or recovery</x:v>
      </x:c>
      <x:c r="F225" s="8" t="str">
        <x:v>Should</x:v>
      </x:c>
      <x:c r="G225" s="8" t="str">
        <x:v>R2</x:v>
      </x:c>
      <x:c r="H225" s="8" t="str">
        <x:v>FX-CARE-07-NEG</x:v>
      </x:c>
      <x:c r="I225" s="8" t="str">
        <x:v>Isolated synthetic tenant; begin from the corresponding acceptance scenario; inject only the named adverse condition.</x:v>
      </x:c>
      <x:c r="J225" s="8" t="str">
        <x:v>1. Establish the normal precondition. 2. A messaging provider reports failure; leave follow-up unresolved and create recovery work. 3. Inspect user state, side effects, audit and any recovery queue.</x:v>
      </x:c>
      <x:c r="K225" s="8" t="str">
        <x:v>A messaging provider reports failure; leave follow-up unresolved and create recovery work. Evidence must show the actual final state and any accountable unresolved work.</x:v>
      </x:c>
      <x:c r="L225" s="10" t="str">
        <x:v>Not run</x:v>
      </x:c>
      <x:c r="M225" s="10" t="str">
        <x:v>QA with Worker clinician and supervisor</x:v>
      </x:c>
      <x:c r="N225" s="10" t="str"/>
      <x:c r="O225" s="10" t="str"/>
      <x:c r="P225" s="8" t="n">
        <x:f>IF(LEN(N225)&gt;0,1,0)</x:f>
        <x:v>0</x:v>
      </x:c>
    </x:row>
    <x:row r="226" ht="47.25" customHeight="1">
      <x:c r="A226" s="7" t="str">
        <x:v>TC-BR-CARE-08-A</x:v>
      </x:c>
      <x:c r="B226" s="7" t="str">
        <x:v>BR-CARE-08</x:v>
      </x:c>
      <x:c r="C226" s="7" t="str">
        <x:v>FR-CARE-08</x:v>
      </x:c>
      <x:c r="D226" s="7" t="str">
        <x:v>Worker activity evidence acceptance</x:v>
      </x:c>
      <x:c r="E226" s="7" t="str">
        <x:v>Functional</x:v>
      </x:c>
      <x:c r="F226" s="7" t="str">
        <x:v>Must</x:v>
      </x:c>
      <x:c r="G226" s="7" t="str">
        <x:v>R1</x:v>
      </x:c>
      <x:c r="H226" s="7" t="str">
        <x:v>FX-CARE-08</x:v>
      </x:c>
      <x:c r="I226" s="7" t="str">
        <x:v>Synthetic tenant A; verified actor with intended scope; relevant pack and connector test profile active; reset fixture before execution.</x:v>
      </x:c>
      <x:c r="J226" s="7" t="str">
        <x:v>1. Load FX-CARE-08. 2. Activity evidence distinguishes performed, verified, claimed and submitted; corrections invalidate derived claims. 3. Capture UI/API results and stored receipt or audit evidence.</x:v>
      </x:c>
      <x:c r="K226" s="7" t="str">
        <x:v>Correcting or cancelling an activity updates derived claims and leaves the original evidence and review history traceable.</x:v>
      </x:c>
      <x:c r="L226" s="10" t="str">
        <x:v>Not run</x:v>
      </x:c>
      <x:c r="M226" s="10" t="str">
        <x:v>QA with Worker clinician and supervisor</x:v>
      </x:c>
      <x:c r="N226" s="10" t="str"/>
      <x:c r="O226" s="10" t="str"/>
      <x:c r="P226" s="7" t="n">
        <x:f>IF(LEN(N226)&gt;0,1,0)</x:f>
        <x:v>0</x:v>
      </x:c>
    </x:row>
    <x:row r="227" ht="47.25" customHeight="1">
      <x:c r="A227" s="8" t="str">
        <x:v>TC-BR-CARE-08-B</x:v>
      </x:c>
      <x:c r="B227" s="8" t="str">
        <x:v>BR-CARE-08</x:v>
      </x:c>
      <x:c r="C227" s="8" t="str">
        <x:v>FR-CARE-08</x:v>
      </x:c>
      <x:c r="D227" s="8" t="str">
        <x:v>Worker activity evidence adverse condition</x:v>
      </x:c>
      <x:c r="E227" s="8" t="str">
        <x:v>Negative or recovery</x:v>
      </x:c>
      <x:c r="F227" s="8" t="str">
        <x:v>Must</x:v>
      </x:c>
      <x:c r="G227" s="8" t="str">
        <x:v>R1</x:v>
      </x:c>
      <x:c r="H227" s="8" t="str">
        <x:v>FX-CARE-08-NEG</x:v>
      </x:c>
      <x:c r="I227" s="8" t="str">
        <x:v>Isolated synthetic tenant; begin from the corresponding acceptance scenario; inject only the named adverse condition.</x:v>
      </x:c>
      <x:c r="J227" s="8" t="str">
        <x:v>1. Establish the normal precondition. 2. Cancel an activity after incentive evidence is prepared; retain history and mark the evidence stale. 3. Inspect user state, side effects, audit and any recovery queue.</x:v>
      </x:c>
      <x:c r="K227" s="8" t="str">
        <x:v>Cancel an activity after incentive evidence is prepared; retain history and mark the evidence stale. Evidence must show the actual final state and any accountable unresolved work.</x:v>
      </x:c>
      <x:c r="L227" s="10" t="str">
        <x:v>Not run</x:v>
      </x:c>
      <x:c r="M227" s="10" t="str">
        <x:v>QA with Worker clinician and supervisor</x:v>
      </x:c>
      <x:c r="N227" s="10" t="str"/>
      <x:c r="O227" s="10" t="str"/>
      <x:c r="P227" s="8" t="n">
        <x:f>IF(LEN(N227)&gt;0,1,0)</x:f>
        <x:v>0</x:v>
      </x:c>
    </x:row>
    <x:row r="228" ht="47.25" customHeight="1">
      <x:c r="A228" s="7" t="str">
        <x:v>TC-BR-REP-01-A</x:v>
      </x:c>
      <x:c r="B228" s="7" t="str">
        <x:v>BR-REP-01</x:v>
      </x:c>
      <x:c r="C228" s="7" t="str">
        <x:v>FR-REP-01</x:v>
      </x:c>
      <x:c r="D228" s="7" t="str">
        <x:v>Operational exception queues acceptance</x:v>
      </x:c>
      <x:c r="E228" s="7" t="str">
        <x:v>Functional</x:v>
      </x:c>
      <x:c r="F228" s="7" t="str">
        <x:v>Must</x:v>
      </x:c>
      <x:c r="G228" s="7" t="str">
        <x:v>R1</x:v>
      </x:c>
      <x:c r="H228" s="7" t="str">
        <x:v>FX-REP-01</x:v>
      </x:c>
      <x:c r="I228" s="7" t="str">
        <x:v>Synthetic tenant A; verified actor with intended scope; relevant pack and connector test profile active; reset fixture before execution.</x:v>
      </x:c>
      <x:c r="J228" s="7" t="str">
        <x:v>1. Load FX-REP-01. 2. Exceptions are indexed by owner, type, age, state and permitted person reference with direct recovery actions. 3. Capture UI/API results and stored receipt or audit evidence.</x:v>
      </x:c>
      <x:c r="K228" s="7" t="str">
        <x:v>Each seeded failure is discoverable and assignable without searching individual worker transcripts.</x:v>
      </x:c>
      <x:c r="L228" s="10" t="str">
        <x:v>Not run</x:v>
      </x:c>
      <x:c r="M228" s="10" t="str">
        <x:v>QA with Supervisor and programme manager</x:v>
      </x:c>
      <x:c r="N228" s="10" t="str"/>
      <x:c r="O228" s="10" t="str"/>
      <x:c r="P228" s="7" t="n">
        <x:f>IF(LEN(N228)&gt;0,1,0)</x:f>
        <x:v>0</x:v>
      </x:c>
    </x:row>
    <x:row r="229" ht="47.25" customHeight="1">
      <x:c r="A229" s="8" t="str">
        <x:v>TC-BR-REP-01-B</x:v>
      </x:c>
      <x:c r="B229" s="8" t="str">
        <x:v>BR-REP-01</x:v>
      </x:c>
      <x:c r="C229" s="8" t="str">
        <x:v>FR-REP-01</x:v>
      </x:c>
      <x:c r="D229" s="8" t="str">
        <x:v>Operational exception queues adverse condition</x:v>
      </x:c>
      <x:c r="E229" s="8" t="str">
        <x:v>Negative or recovery</x:v>
      </x:c>
      <x:c r="F229" s="8" t="str">
        <x:v>Must</x:v>
      </x:c>
      <x:c r="G229" s="8" t="str">
        <x:v>R1</x:v>
      </x:c>
      <x:c r="H229" s="8" t="str">
        <x:v>FX-REP-01-NEG</x:v>
      </x:c>
      <x:c r="I229" s="8" t="str">
        <x:v>Isolated synthetic tenant; begin from the corresponding acceptance scenario; inject only the named adverse condition.</x:v>
      </x:c>
      <x:c r="J229" s="8" t="str">
        <x:v>1. Establish the normal precondition. 2. Create a failed submission with no assigned handler; it must appear in the monitored integration queue. 3. Inspect user state, side effects, audit and any recovery queue.</x:v>
      </x:c>
      <x:c r="K229" s="8" t="str">
        <x:v>Create a failed submission with no assigned handler; it must appear in the monitored integration queue. Evidence must show the actual final state and any accountable unresolved work.</x:v>
      </x:c>
      <x:c r="L229" s="10" t="str">
        <x:v>Not run</x:v>
      </x:c>
      <x:c r="M229" s="10" t="str">
        <x:v>QA with Supervisor and programme manager</x:v>
      </x:c>
      <x:c r="N229" s="10" t="str"/>
      <x:c r="O229" s="10" t="str"/>
      <x:c r="P229" s="8" t="n">
        <x:f>IF(LEN(N229)&gt;0,1,0)</x:f>
        <x:v>0</x:v>
      </x:c>
    </x:row>
    <x:row r="230" ht="47.25" customHeight="1">
      <x:c r="A230" s="7" t="str">
        <x:v>TC-BR-REP-02-A</x:v>
      </x:c>
      <x:c r="B230" s="7" t="str">
        <x:v>BR-REP-02</x:v>
      </x:c>
      <x:c r="C230" s="7" t="str">
        <x:v>FR-REP-02</x:v>
      </x:c>
      <x:c r="D230" s="7" t="str">
        <x:v>Governed indicator definitions acceptance</x:v>
      </x:c>
      <x:c r="E230" s="7" t="str">
        <x:v>Functional</x:v>
      </x:c>
      <x:c r="F230" s="7" t="str">
        <x:v>Must</x:v>
      </x:c>
      <x:c r="G230" s="7" t="str">
        <x:v>R1</x:v>
      </x:c>
      <x:c r="H230" s="7" t="str">
        <x:v>FX-REP-02</x:v>
      </x:c>
      <x:c r="I230" s="7" t="str">
        <x:v>Synthetic tenant A; verified actor with intended scope; relevant pack and connector test profile active; reset fixture before execution.</x:v>
      </x:c>
      <x:c r="J230" s="7" t="str">
        <x:v>1. Load FX-REP-02. 2. Metric definitions version numerator, denominator, exclusions, source grain, cutoff and suppression. 3. Capture UI/API results and stored receipt or audit evidence.</x:v>
      </x:c>
      <x:c r="K230" s="7" t="str">
        <x:v>A reviewer can recalculate sample indicators from authorised records and distinguish visits, unique people and accepted programme submissions.</x:v>
      </x:c>
      <x:c r="L230" s="10" t="str">
        <x:v>Not run</x:v>
      </x:c>
      <x:c r="M230" s="10" t="str">
        <x:v>QA with Supervisor and programme manager</x:v>
      </x:c>
      <x:c r="N230" s="10" t="str"/>
      <x:c r="O230" s="10" t="str"/>
      <x:c r="P230" s="7" t="n">
        <x:f>IF(LEN(N230)&gt;0,1,0)</x:f>
        <x:v>0</x:v>
      </x:c>
    </x:row>
    <x:row r="231" ht="47.25" customHeight="1">
      <x:c r="A231" s="8" t="str">
        <x:v>TC-BR-REP-02-B</x:v>
      </x:c>
      <x:c r="B231" s="8" t="str">
        <x:v>BR-REP-02</x:v>
      </x:c>
      <x:c r="C231" s="8" t="str">
        <x:v>FR-REP-02</x:v>
      </x:c>
      <x:c r="D231" s="8" t="str">
        <x:v>Governed indicator definitions adverse condition</x:v>
      </x:c>
      <x:c r="E231" s="8" t="str">
        <x:v>Negative or recovery</x:v>
      </x:c>
      <x:c r="F231" s="8" t="str">
        <x:v>Must</x:v>
      </x:c>
      <x:c r="G231" s="8" t="str">
        <x:v>R1</x:v>
      </x:c>
      <x:c r="H231" s="8" t="str">
        <x:v>FX-REP-02-NEG</x:v>
      </x:c>
      <x:c r="I231" s="8" t="str">
        <x:v>Isolated synthetic tenant; begin from the corresponding acceptance scenario; inject only the named adverse condition.</x:v>
      </x:c>
      <x:c r="J231" s="8" t="str">
        <x:v>1. Establish the normal precondition. 2. Recalculate a past report after a metric change; the original version must remain reproducible. 3. Inspect user state, side effects, audit and any recovery queue.</x:v>
      </x:c>
      <x:c r="K231" s="8" t="str">
        <x:v>Recalculate a past report after a metric change; the original version must remain reproducible. Evidence must show the actual final state and any accountable unresolved work.</x:v>
      </x:c>
      <x:c r="L231" s="10" t="str">
        <x:v>Not run</x:v>
      </x:c>
      <x:c r="M231" s="10" t="str">
        <x:v>QA with Supervisor and programme manager</x:v>
      </x:c>
      <x:c r="N231" s="10" t="str"/>
      <x:c r="O231" s="10" t="str"/>
      <x:c r="P231" s="8" t="n">
        <x:f>IF(LEN(N231)&gt;0,1,0)</x:f>
        <x:v>0</x:v>
      </x:c>
    </x:row>
    <x:row r="232" ht="47.25" customHeight="1">
      <x:c r="A232" s="7" t="str">
        <x:v>TC-BR-REP-03-A</x:v>
      </x:c>
      <x:c r="B232" s="7" t="str">
        <x:v>BR-REP-03</x:v>
      </x:c>
      <x:c r="C232" s="7" t="str">
        <x:v>FR-REP-03</x:v>
      </x:c>
      <x:c r="D232" s="7" t="str">
        <x:v>Data freshness and completeness acceptance</x:v>
      </x:c>
      <x:c r="E232" s="7" t="str">
        <x:v>Functional</x:v>
      </x:c>
      <x:c r="F232" s="7" t="str">
        <x:v>Must</x:v>
      </x:c>
      <x:c r="G232" s="7" t="str">
        <x:v>R1</x:v>
      </x:c>
      <x:c r="H232" s="7" t="str">
        <x:v>FX-REP-03</x:v>
      </x:c>
      <x:c r="I232" s="7" t="str">
        <x:v>Synthetic tenant A; verified actor with intended scope; relevant pack and connector test profile active; reset fixture before execution.</x:v>
      </x:c>
      <x:c r="J232" s="7" t="str">
        <x:v>1. Load FX-REP-03. 2. Each report shows source refresh time and incomplete feeds; delayed records revise a new report version. 3. Capture UI/API results and stored receipt or audit evidence.</x:v>
      </x:c>
      <x:c r="K232" s="7" t="str">
        <x:v>Disconnecting one source produces a visible completeness warning and an explicit affected denominator.</x:v>
      </x:c>
      <x:c r="L232" s="10" t="str">
        <x:v>Not run</x:v>
      </x:c>
      <x:c r="M232" s="10" t="str">
        <x:v>QA with Supervisor and programme manager</x:v>
      </x:c>
      <x:c r="N232" s="10" t="str"/>
      <x:c r="O232" s="10" t="str"/>
      <x:c r="P232" s="7" t="n">
        <x:f>IF(LEN(N232)&gt;0,1,0)</x:f>
        <x:v>0</x:v>
      </x:c>
    </x:row>
    <x:row r="233" ht="47.25" customHeight="1">
      <x:c r="A233" s="8" t="str">
        <x:v>TC-BR-REP-03-B</x:v>
      </x:c>
      <x:c r="B233" s="8" t="str">
        <x:v>BR-REP-03</x:v>
      </x:c>
      <x:c r="C233" s="8" t="str">
        <x:v>FR-REP-03</x:v>
      </x:c>
      <x:c r="D233" s="8" t="str">
        <x:v>Data freshness and completeness adverse condition</x:v>
      </x:c>
      <x:c r="E233" s="8" t="str">
        <x:v>Negative or recovery</x:v>
      </x:c>
      <x:c r="F233" s="8" t="str">
        <x:v>Must</x:v>
      </x:c>
      <x:c r="G233" s="8" t="str">
        <x:v>R1</x:v>
      </x:c>
      <x:c r="H233" s="8" t="str">
        <x:v>FX-REP-03-NEG</x:v>
      </x:c>
      <x:c r="I233" s="8" t="str">
        <x:v>Isolated synthetic tenant; begin from the corresponding acceptance scenario; inject only the named adverse condition.</x:v>
      </x:c>
      <x:c r="J233" s="8" t="str">
        <x:v>1. Establish the normal precondition. 2. Disconnect one feed; the dashboard must not display a falsely complete period. 3. Inspect user state, side effects, audit and any recovery queue.</x:v>
      </x:c>
      <x:c r="K233" s="8" t="str">
        <x:v>Disconnect one feed; the dashboard must not display a falsely complete period. Evidence must show the actual final state and any accountable unresolved work.</x:v>
      </x:c>
      <x:c r="L233" s="10" t="str">
        <x:v>Not run</x:v>
      </x:c>
      <x:c r="M233" s="10" t="str">
        <x:v>QA with Supervisor and programme manager</x:v>
      </x:c>
      <x:c r="N233" s="10" t="str"/>
      <x:c r="O233" s="10" t="str"/>
      <x:c r="P233" s="8" t="n">
        <x:f>IF(LEN(N233)&gt;0,1,0)</x:f>
        <x:v>0</x:v>
      </x:c>
    </x:row>
    <x:row r="234" ht="47.25" customHeight="1">
      <x:c r="A234" s="7" t="str">
        <x:v>TC-BR-REP-04-A</x:v>
      </x:c>
      <x:c r="B234" s="7" t="str">
        <x:v>BR-REP-04</x:v>
      </x:c>
      <x:c r="C234" s="7" t="str">
        <x:v>FR-REP-04</x:v>
      </x:c>
      <x:c r="D234" s="7" t="str">
        <x:v>Privacy-preserving aggregation acceptance</x:v>
      </x:c>
      <x:c r="E234" s="7" t="str">
        <x:v>Functional</x:v>
      </x:c>
      <x:c r="F234" s="7" t="str">
        <x:v>Must</x:v>
      </x:c>
      <x:c r="G234" s="7" t="str">
        <x:v>R1</x:v>
      </x:c>
      <x:c r="H234" s="7" t="str">
        <x:v>FX-REP-04</x:v>
      </x:c>
      <x:c r="I234" s="7" t="str">
        <x:v>Synthetic tenant A; verified actor with intended scope; relevant pack and connector test profile active; reset fixture before execution.</x:v>
      </x:c>
      <x:c r="J234" s="7" t="str">
        <x:v>1. Load FX-REP-04. 2. Aggregate policy combines minimum cohort rules, protected dimensions and query-history controls against differencing. 3. Capture UI/API results and stored receipt or audit evidence.</x:v>
      </x:c>
      <x:c r="K234" s="7" t="str">
        <x:v>Combining filters cannot reveal a suppressed small group or bypass person-level access restrictions.</x:v>
      </x:c>
      <x:c r="L234" s="10" t="str">
        <x:v>Not run</x:v>
      </x:c>
      <x:c r="M234" s="10" t="str">
        <x:v>QA with Supervisor and programme manager</x:v>
      </x:c>
      <x:c r="N234" s="10" t="str"/>
      <x:c r="O234" s="10" t="str"/>
      <x:c r="P234" s="7" t="n">
        <x:f>IF(LEN(N234)&gt;0,1,0)</x:f>
        <x:v>0</x:v>
      </x:c>
    </x:row>
    <x:row r="235" ht="47.25" customHeight="1">
      <x:c r="A235" s="8" t="str">
        <x:v>TC-BR-REP-04-B</x:v>
      </x:c>
      <x:c r="B235" s="8" t="str">
        <x:v>BR-REP-04</x:v>
      </x:c>
      <x:c r="C235" s="8" t="str">
        <x:v>FR-REP-04</x:v>
      </x:c>
      <x:c r="D235" s="8" t="str">
        <x:v>Privacy-preserving aggregation adverse condition</x:v>
      </x:c>
      <x:c r="E235" s="8" t="str">
        <x:v>Negative or recovery</x:v>
      </x:c>
      <x:c r="F235" s="8" t="str">
        <x:v>Must</x:v>
      </x:c>
      <x:c r="G235" s="8" t="str">
        <x:v>R1</x:v>
      </x:c>
      <x:c r="H235" s="8" t="str">
        <x:v>FX-REP-04-NEG</x:v>
      </x:c>
      <x:c r="I235" s="8" t="str">
        <x:v>Isolated synthetic tenant; begin from the corresponding acceptance scenario; inject only the named adverse condition.</x:v>
      </x:c>
      <x:c r="J235" s="8" t="str">
        <x:v>1. Establish the normal precondition. 2. Vary filters to reconstruct a suppressed patient; the system must deny the revealing query sequence. 3. Inspect user state, side effects, audit and any recovery queue.</x:v>
      </x:c>
      <x:c r="K235" s="8" t="str">
        <x:v>Vary filters to reconstruct a suppressed patient; the system must deny the revealing query sequence. Evidence must show the actual final state and any accountable unresolved work.</x:v>
      </x:c>
      <x:c r="L235" s="10" t="str">
        <x:v>Not run</x:v>
      </x:c>
      <x:c r="M235" s="10" t="str">
        <x:v>QA with Supervisor and programme manager</x:v>
      </x:c>
      <x:c r="N235" s="10" t="str"/>
      <x:c r="O235" s="10" t="str"/>
      <x:c r="P235" s="8" t="n">
        <x:f>IF(LEN(N235)&gt;0,1,0)</x:f>
        <x:v>0</x:v>
      </x:c>
    </x:row>
    <x:row r="236" ht="47.25" customHeight="1">
      <x:c r="A236" s="7" t="str">
        <x:v>TC-BR-REP-05-A</x:v>
      </x:c>
      <x:c r="B236" s="7" t="str">
        <x:v>BR-REP-05</x:v>
      </x:c>
      <x:c r="C236" s="7" t="str">
        <x:v>FR-REP-05</x:v>
      </x:c>
      <x:c r="D236" s="7" t="str">
        <x:v>Reconciled exports acceptance</x:v>
      </x:c>
      <x:c r="E236" s="7" t="str">
        <x:v>Functional</x:v>
      </x:c>
      <x:c r="F236" s="7" t="str">
        <x:v>Must</x:v>
      </x:c>
      <x:c r="G236" s="7" t="str">
        <x:v>R1</x:v>
      </x:c>
      <x:c r="H236" s="7" t="str">
        <x:v>FX-REP-05</x:v>
      </x:c>
      <x:c r="I236" s="7" t="str">
        <x:v>Synthetic tenant A; verified actor with intended scope; relevant pack and connector test profile active; reset fixture before execution.</x:v>
      </x:c>
      <x:c r="J236" s="7" t="str">
        <x:v>1. Load FX-REP-05. 2. Exports contain metric definition version, scope, date window and row count, with expiring authorised download. 3. Capture UI/API results and stored receipt or audit evidence.</x:v>
      </x:c>
      <x:c r="K236" s="7" t="str">
        <x:v>An exported report reconciles to the displayed governed measure and cannot be downloaded by an unauthorised role.</x:v>
      </x:c>
      <x:c r="L236" s="10" t="str">
        <x:v>Not run</x:v>
      </x:c>
      <x:c r="M236" s="10" t="str">
        <x:v>QA with Supervisor and programme manager</x:v>
      </x:c>
      <x:c r="N236" s="10" t="str"/>
      <x:c r="O236" s="10" t="str"/>
      <x:c r="P236" s="7" t="n">
        <x:f>IF(LEN(N236)&gt;0,1,0)</x:f>
        <x:v>0</x:v>
      </x:c>
    </x:row>
    <x:row r="237" ht="47.25" customHeight="1">
      <x:c r="A237" s="8" t="str">
        <x:v>TC-BR-REP-05-B</x:v>
      </x:c>
      <x:c r="B237" s="8" t="str">
        <x:v>BR-REP-05</x:v>
      </x:c>
      <x:c r="C237" s="8" t="str">
        <x:v>FR-REP-05</x:v>
      </x:c>
      <x:c r="D237" s="8" t="str">
        <x:v>Reconciled exports adverse condition</x:v>
      </x:c>
      <x:c r="E237" s="8" t="str">
        <x:v>Negative or recovery</x:v>
      </x:c>
      <x:c r="F237" s="8" t="str">
        <x:v>Must</x:v>
      </x:c>
      <x:c r="G237" s="8" t="str">
        <x:v>R1</x:v>
      </x:c>
      <x:c r="H237" s="8" t="str">
        <x:v>FX-REP-05-NEG</x:v>
      </x:c>
      <x:c r="I237" s="8" t="str">
        <x:v>Isolated synthetic tenant; begin from the corresponding acceptance scenario; inject only the named adverse condition.</x:v>
      </x:c>
      <x:c r="J237" s="8" t="str">
        <x:v>1. Establish the normal precondition. 2. Alter a filter after export approval; require new review and block the old download request. 3. Inspect user state, side effects, audit and any recovery queue.</x:v>
      </x:c>
      <x:c r="K237" s="8" t="str">
        <x:v>Alter a filter after export approval; require new review and block the old download request. Evidence must show the actual final state and any accountable unresolved work.</x:v>
      </x:c>
      <x:c r="L237" s="10" t="str">
        <x:v>Not run</x:v>
      </x:c>
      <x:c r="M237" s="10" t="str">
        <x:v>QA with Supervisor and programme manager</x:v>
      </x:c>
      <x:c r="N237" s="10" t="str"/>
      <x:c r="O237" s="10" t="str"/>
      <x:c r="P237" s="8" t="n">
        <x:f>IF(LEN(N237)&gt;0,1,0)</x:f>
        <x:v>0</x:v>
      </x:c>
    </x:row>
    <x:row r="238" ht="47.25" customHeight="1">
      <x:c r="A238" s="7" t="str">
        <x:v>TC-BR-REP-06-A</x:v>
      </x:c>
      <x:c r="B238" s="7" t="str">
        <x:v>BR-REP-06</x:v>
      </x:c>
      <x:c r="C238" s="7" t="str">
        <x:v>FR-REP-06</x:v>
      </x:c>
      <x:c r="D238" s="7" t="str">
        <x:v>Population prioritisation acceptance</x:v>
      </x:c>
      <x:c r="E238" s="7" t="str">
        <x:v>Functional</x:v>
      </x:c>
      <x:c r="F238" s="7" t="str">
        <x:v>Should</x:v>
      </x:c>
      <x:c r="G238" s="7" t="str">
        <x:v>R2</x:v>
      </x:c>
      <x:c r="H238" s="7" t="str">
        <x:v>FX-REP-06</x:v>
      </x:c>
      <x:c r="I238" s="7" t="str">
        <x:v>Synthetic tenant A; verified actor with intended scope; relevant pack and connector test profile active; reset fixture before execution.</x:v>
      </x:c>
      <x:c r="J238" s="7" t="str">
        <x:v>1. Load FX-REP-06. 2. Prioritisation returns reasons and uncertainty for human allocation; neither payment nor eligibility is automatically changed. 3. Capture UI/API results and stored receipt or audit evidence.</x:v>
      </x:c>
      <x:c r="K238" s="7" t="str">
        <x:v>Supervisors can inspect selection criteria and override an allocation with a reason; uncertainty remains visible.</x:v>
      </x:c>
      <x:c r="L238" s="10" t="str">
        <x:v>Not run</x:v>
      </x:c>
      <x:c r="M238" s="10" t="str">
        <x:v>QA with Supervisor and programme manager</x:v>
      </x:c>
      <x:c r="N238" s="10" t="str"/>
      <x:c r="O238" s="10" t="str"/>
      <x:c r="P238" s="7" t="n">
        <x:f>IF(LEN(N238)&gt;0,1,0)</x:f>
        <x:v>0</x:v>
      </x:c>
    </x:row>
    <x:row r="239" ht="47.25" customHeight="1">
      <x:c r="A239" s="8" t="str">
        <x:v>TC-BR-REP-06-B</x:v>
      </x:c>
      <x:c r="B239" s="8" t="str">
        <x:v>BR-REP-06</x:v>
      </x:c>
      <x:c r="C239" s="8" t="str">
        <x:v>FR-REP-06</x:v>
      </x:c>
      <x:c r="D239" s="8" t="str">
        <x:v>Population prioritisation adverse condition</x:v>
      </x:c>
      <x:c r="E239" s="8" t="str">
        <x:v>Negative or recovery</x:v>
      </x:c>
      <x:c r="F239" s="8" t="str">
        <x:v>Should</x:v>
      </x:c>
      <x:c r="G239" s="8" t="str">
        <x:v>R2</x:v>
      </x:c>
      <x:c r="H239" s="8" t="str">
        <x:v>FX-REP-06-NEG</x:v>
      </x:c>
      <x:c r="I239" s="8" t="str">
        <x:v>Isolated synthetic tenant; begin from the corresponding acceptance scenario; inject only the named adverse condition.</x:v>
      </x:c>
      <x:c r="J239" s="8" t="str">
        <x:v>1. Establish the normal precondition. 2. Request worker penalties from an AI ranking; no sanction action is available. 3. Inspect user state, side effects, audit and any recovery queue.</x:v>
      </x:c>
      <x:c r="K239" s="8" t="str">
        <x:v>Request worker penalties from an AI ranking; no sanction action is available. Evidence must show the actual final state and any accountable unresolved work.</x:v>
      </x:c>
      <x:c r="L239" s="10" t="str">
        <x:v>Not run</x:v>
      </x:c>
      <x:c r="M239" s="10" t="str">
        <x:v>QA with Supervisor and programme manager</x:v>
      </x:c>
      <x:c r="N239" s="10" t="str"/>
      <x:c r="O239" s="10" t="str"/>
      <x:c r="P239" s="8" t="n">
        <x:f>IF(LEN(N239)&gt;0,1,0)</x:f>
        <x:v>0</x:v>
      </x:c>
    </x:row>
    <x:row r="240" ht="47.25" customHeight="1">
      <x:c r="A240" s="7" t="str">
        <x:v>TC-BR-REP-07-A</x:v>
      </x:c>
      <x:c r="B240" s="7" t="str">
        <x:v>BR-REP-07</x:v>
      </x:c>
      <x:c r="C240" s="7" t="str">
        <x:v>FR-REP-07</x:v>
      </x:c>
      <x:c r="D240" s="7" t="str">
        <x:v>Product performance metrics acceptance</x:v>
      </x:c>
      <x:c r="E240" s="7" t="str">
        <x:v>Functional</x:v>
      </x:c>
      <x:c r="F240" s="7" t="str">
        <x:v>Must</x:v>
      </x:c>
      <x:c r="G240" s="7" t="str">
        <x:v>R1</x:v>
      </x:c>
      <x:c r="H240" s="7" t="str">
        <x:v>FX-REP-07</x:v>
      </x:c>
      <x:c r="I240" s="7" t="str">
        <x:v>Synthetic tenant A; verified actor with intended scope; relevant pack and connector test profile active; reset fixture before execution.</x:v>
      </x:c>
      <x:c r="J240" s="7" t="str">
        <x:v>1. Load FX-REP-07. 2. Operational metrics use event references and redacted counters; patient content never becomes general product telemetry. 3. Capture UI/API results and stored receipt or audit evidence.</x:v>
      </x:c>
      <x:c r="K240" s="7" t="str">
        <x:v>Product dashboards can support the Section 6 evaluation and contain no unnecessary patient identifiers or recording content.</x:v>
      </x:c>
      <x:c r="L240" s="10" t="str">
        <x:v>Not run</x:v>
      </x:c>
      <x:c r="M240" s="10" t="str">
        <x:v>QA with Supervisor and programme manager</x:v>
      </x:c>
      <x:c r="N240" s="10" t="str"/>
      <x:c r="O240" s="10" t="str"/>
      <x:c r="P240" s="7" t="n">
        <x:f>IF(LEN(N240)&gt;0,1,0)</x:f>
        <x:v>0</x:v>
      </x:c>
    </x:row>
    <x:row r="241" ht="47.25" customHeight="1">
      <x:c r="A241" s="8" t="str">
        <x:v>TC-BR-REP-07-B</x:v>
      </x:c>
      <x:c r="B241" s="8" t="str">
        <x:v>BR-REP-07</x:v>
      </x:c>
      <x:c r="C241" s="8" t="str">
        <x:v>FR-REP-07</x:v>
      </x:c>
      <x:c r="D241" s="8" t="str">
        <x:v>Product performance metrics adverse condition</x:v>
      </x:c>
      <x:c r="E241" s="8" t="str">
        <x:v>Negative or recovery</x:v>
      </x:c>
      <x:c r="F241" s="8" t="str">
        <x:v>Must</x:v>
      </x:c>
      <x:c r="G241" s="8" t="str">
        <x:v>R1</x:v>
      </x:c>
      <x:c r="H241" s="8" t="str">
        <x:v>FX-REP-07-NEG</x:v>
      </x:c>
      <x:c r="I241" s="8" t="str">
        <x:v>Isolated synthetic tenant; begin from the corresponding acceptance scenario; inject only the named adverse condition.</x:v>
      </x:c>
      <x:c r="J241" s="8" t="str">
        <x:v>1. Establish the normal precondition. 2. Inspect crash and usage events after a sensitive encounter; no raw transcript or clinical payload may be present. 3. Inspect user state, side effects, audit and any recovery queue.</x:v>
      </x:c>
      <x:c r="K241" s="8" t="str">
        <x:v>Inspect crash and usage events after a sensitive encounter; no raw transcript or clinical payload may be present. Evidence must show the actual final state and any accountable unresolved work.</x:v>
      </x:c>
      <x:c r="L241" s="10" t="str">
        <x:v>Not run</x:v>
      </x:c>
      <x:c r="M241" s="10" t="str">
        <x:v>QA with Supervisor and programme manager</x:v>
      </x:c>
      <x:c r="N241" s="10" t="str"/>
      <x:c r="O241" s="10" t="str"/>
      <x:c r="P241" s="8" t="n">
        <x:f>IF(LEN(N241)&gt;0,1,0)</x:f>
        <x:v>0</x:v>
      </x:c>
    </x:row>
    <x:row r="242" ht="47.25" customHeight="1">
      <x:c r="A242" s="7" t="str">
        <x:v>TC-BR-OPS-01-A</x:v>
      </x:c>
      <x:c r="B242" s="7" t="str">
        <x:v>BR-OPS-01</x:v>
      </x:c>
      <x:c r="C242" s="7" t="str">
        <x:v>FR-OPS-01</x:v>
      </x:c>
      <x:c r="D242" s="7" t="str">
        <x:v>Deployment configuration acceptance</x:v>
      </x:c>
      <x:c r="E242" s="7" t="str">
        <x:v>Functional</x:v>
      </x:c>
      <x:c r="F242" s="7" t="str">
        <x:v>Must</x:v>
      </x:c>
      <x:c r="G242" s="7" t="str">
        <x:v>R1</x:v>
      </x:c>
      <x:c r="H242" s="7" t="str">
        <x:v>FX-OPS-01</x:v>
      </x:c>
      <x:c r="I242" s="7" t="str">
        <x:v>Synthetic tenant A; verified actor with intended scope; relevant pack and connector test profile active; reset fixture before execution.</x:v>
      </x:c>
      <x:c r="J242" s="7" t="str">
        <x:v>1. Load FX-OPS-01. 2. Configuration is tenant-scoped and versioned; validate referenced roles, packs, capabilities and connector profiles before publish. 3. Capture UI/API results and stored receipt or audit evidence.</x:v>
      </x:c>
      <x:c r="K242" s="7" t="str">
        <x:v>Updating one tenant's configuration cannot change another tenant's behaviour or data visibility.</x:v>
      </x:c>
      <x:c r="L242" s="10" t="str">
        <x:v>Not run</x:v>
      </x:c>
      <x:c r="M242" s="10" t="str">
        <x:v>QA with Deployment operations</x:v>
      </x:c>
      <x:c r="N242" s="10" t="str"/>
      <x:c r="O242" s="10" t="str"/>
      <x:c r="P242" s="7" t="n">
        <x:f>IF(LEN(N242)&gt;0,1,0)</x:f>
        <x:v>0</x:v>
      </x:c>
    </x:row>
    <x:row r="243" ht="47.25" customHeight="1">
      <x:c r="A243" s="8" t="str">
        <x:v>TC-BR-OPS-01-B</x:v>
      </x:c>
      <x:c r="B243" s="8" t="str">
        <x:v>BR-OPS-01</x:v>
      </x:c>
      <x:c r="C243" s="8" t="str">
        <x:v>FR-OPS-01</x:v>
      </x:c>
      <x:c r="D243" s="8" t="str">
        <x:v>Deployment configuration adverse condition</x:v>
      </x:c>
      <x:c r="E243" s="8" t="str">
        <x:v>Negative or recovery</x:v>
      </x:c>
      <x:c r="F243" s="8" t="str">
        <x:v>Must</x:v>
      </x:c>
      <x:c r="G243" s="8" t="str">
        <x:v>R1</x:v>
      </x:c>
      <x:c r="H243" s="8" t="str">
        <x:v>FX-OPS-01-NEG</x:v>
      </x:c>
      <x:c r="I243" s="8" t="str">
        <x:v>Isolated synthetic tenant; begin from the corresponding acceptance scenario; inject only the named adverse condition.</x:v>
      </x:c>
      <x:c r="J243" s="8" t="str">
        <x:v>1. Establish the normal precondition. 2. Change tenant A configuration and inspect tenant B; no state or access change may occur. 3. Inspect user state, side effects, audit and any recovery queue.</x:v>
      </x:c>
      <x:c r="K243" s="8" t="str">
        <x:v>Change tenant A configuration and inspect tenant B; no state or access change may occur. Evidence must show the actual final state and any accountable unresolved work.</x:v>
      </x:c>
      <x:c r="L243" s="10" t="str">
        <x:v>Not run</x:v>
      </x:c>
      <x:c r="M243" s="10" t="str">
        <x:v>QA with Deployment operations</x:v>
      </x:c>
      <x:c r="N243" s="10" t="str"/>
      <x:c r="O243" s="10" t="str"/>
      <x:c r="P243" s="8" t="n">
        <x:f>IF(LEN(N243)&gt;0,1,0)</x:f>
        <x:v>0</x:v>
      </x:c>
    </x:row>
    <x:row r="244" ht="47.25" customHeight="1">
      <x:c r="A244" s="7" t="str">
        <x:v>TC-BR-OPS-02-A</x:v>
      </x:c>
      <x:c r="B244" s="7" t="str">
        <x:v>BR-OPS-02</x:v>
      </x:c>
      <x:c r="C244" s="7" t="str">
        <x:v>FR-OPS-02</x:v>
      </x:c>
      <x:c r="D244" s="7" t="str">
        <x:v>Separation of environments acceptance</x:v>
      </x:c>
      <x:c r="E244" s="7" t="str">
        <x:v>Functional</x:v>
      </x:c>
      <x:c r="F244" s="7" t="str">
        <x:v>Must</x:v>
      </x:c>
      <x:c r="G244" s="7" t="str">
        <x:v>R1</x:v>
      </x:c>
      <x:c r="H244" s="7" t="str">
        <x:v>FX-OPS-02</x:v>
      </x:c>
      <x:c r="I244" s="7" t="str">
        <x:v>Synthetic tenant A; verified actor with intended scope; relevant pack and connector test profile active; reset fixture before execution.</x:v>
      </x:c>
      <x:c r="J244" s="7" t="str">
        <x:v>1. Load FX-OPS-02. 2. Production credentials and routes are unavailable in test environments; fixtures carry synthetic mode on every record. 3. Capture UI/API results and stored receipt or audit evidence.</x:v>
      </x:c>
      <x:c r="K244" s="7" t="str">
        <x:v>A demonstration record cannot reach a live MIS, and a training account cannot access real patient records.</x:v>
      </x:c>
      <x:c r="L244" s="10" t="str">
        <x:v>Not run</x:v>
      </x:c>
      <x:c r="M244" s="10" t="str">
        <x:v>QA with Deployment operations</x:v>
      </x:c>
      <x:c r="N244" s="10" t="str"/>
      <x:c r="O244" s="10" t="str"/>
      <x:c r="P244" s="7" t="n">
        <x:f>IF(LEN(N244)&gt;0,1,0)</x:f>
        <x:v>0</x:v>
      </x:c>
    </x:row>
    <x:row r="245" ht="47.25" customHeight="1">
      <x:c r="A245" s="8" t="str">
        <x:v>TC-BR-OPS-02-B</x:v>
      </x:c>
      <x:c r="B245" s="8" t="str">
        <x:v>BR-OPS-02</x:v>
      </x:c>
      <x:c r="C245" s="8" t="str">
        <x:v>FR-OPS-02</x:v>
      </x:c>
      <x:c r="D245" s="8" t="str">
        <x:v>Separation of environments adverse condition</x:v>
      </x:c>
      <x:c r="E245" s="8" t="str">
        <x:v>Negative or recovery</x:v>
      </x:c>
      <x:c r="F245" s="8" t="str">
        <x:v>Must</x:v>
      </x:c>
      <x:c r="G245" s="8" t="str">
        <x:v>R1</x:v>
      </x:c>
      <x:c r="H245" s="8" t="str">
        <x:v>FX-OPS-02-NEG</x:v>
      </x:c>
      <x:c r="I245" s="8" t="str">
        <x:v>Isolated synthetic tenant; begin from the corresponding acceptance scenario; inject only the named adverse condition.</x:v>
      </x:c>
      <x:c r="J245" s="8" t="str">
        <x:v>1. Establish the normal precondition. 2. Submit a training identity through a live connector; block at policy and adapter boundaries. 3. Inspect user state, side effects, audit and any recovery queue.</x:v>
      </x:c>
      <x:c r="K245" s="8" t="str">
        <x:v>Submit a training identity through a live connector; block at policy and adapter boundaries. Evidence must show the actual final state and any accountable unresolved work.</x:v>
      </x:c>
      <x:c r="L245" s="10" t="str">
        <x:v>Not run</x:v>
      </x:c>
      <x:c r="M245" s="10" t="str">
        <x:v>QA with Deployment operations</x:v>
      </x:c>
      <x:c r="N245" s="10" t="str"/>
      <x:c r="O245" s="10" t="str"/>
      <x:c r="P245" s="8" t="n">
        <x:f>IF(LEN(N245)&gt;0,1,0)</x:f>
        <x:v>0</x:v>
      </x:c>
    </x:row>
    <x:row r="246" ht="47.25" customHeight="1">
      <x:c r="A246" s="7" t="str">
        <x:v>TC-BR-OPS-03-A</x:v>
      </x:c>
      <x:c r="B246" s="7" t="str">
        <x:v>BR-OPS-03</x:v>
      </x:c>
      <x:c r="C246" s="7" t="str">
        <x:v>FR-OPS-03</x:v>
      </x:c>
      <x:c r="D246" s="7" t="str">
        <x:v>Controlled publishing and rollback acceptance</x:v>
      </x:c>
      <x:c r="E246" s="7" t="str">
        <x:v>Functional</x:v>
      </x:c>
      <x:c r="F246" s="7" t="str">
        <x:v>Must</x:v>
      </x:c>
      <x:c r="G246" s="7" t="str">
        <x:v>R1</x:v>
      </x:c>
      <x:c r="H246" s="7" t="str">
        <x:v>FX-OPS-03</x:v>
      </x:c>
      <x:c r="I246" s="7" t="str">
        <x:v>Synthetic tenant A; verified actor with intended scope; relevant pack and connector test profile active; reset fixture before execution.</x:v>
      </x:c>
      <x:c r="J246" s="7" t="str">
        <x:v>1. Load FX-OPS-03. 2. Publish creates an immutable manifest and independent approval for sensitive changes; rollback checks schema compatibility. 3. Capture UI/API results and stored receipt or audit evidence.</x:v>
      </x:c>
      <x:c r="K246" s="7" t="str">
        <x:v>A failed change is reversible to an approved version while preserving the history of work completed under the changed version.</x:v>
      </x:c>
      <x:c r="L246" s="10" t="str">
        <x:v>Not run</x:v>
      </x:c>
      <x:c r="M246" s="10" t="str">
        <x:v>QA with Deployment operations</x:v>
      </x:c>
      <x:c r="N246" s="10" t="str"/>
      <x:c r="O246" s="10" t="str"/>
      <x:c r="P246" s="7" t="n">
        <x:f>IF(LEN(N246)&gt;0,1,0)</x:f>
        <x:v>0</x:v>
      </x:c>
    </x:row>
    <x:row r="247" ht="47.25" customHeight="1">
      <x:c r="A247" s="8" t="str">
        <x:v>TC-BR-OPS-03-B</x:v>
      </x:c>
      <x:c r="B247" s="8" t="str">
        <x:v>BR-OPS-03</x:v>
      </x:c>
      <x:c r="C247" s="8" t="str">
        <x:v>FR-OPS-03</x:v>
      </x:c>
      <x:c r="D247" s="8" t="str">
        <x:v>Controlled publishing and rollback adverse condition</x:v>
      </x:c>
      <x:c r="E247" s="8" t="str">
        <x:v>Negative or recovery</x:v>
      </x:c>
      <x:c r="F247" s="8" t="str">
        <x:v>Must</x:v>
      </x:c>
      <x:c r="G247" s="8" t="str">
        <x:v>R1</x:v>
      </x:c>
      <x:c r="H247" s="8" t="str">
        <x:v>FX-OPS-03-NEG</x:v>
      </x:c>
      <x:c r="I247" s="8" t="str">
        <x:v>Isolated synthetic tenant; begin from the corresponding acceptance scenario; inject only the named adverse condition.</x:v>
      </x:c>
      <x:c r="J247" s="8" t="str">
        <x:v>1. Establish the normal precondition. 2. Rollback after a schema change that makes old config incompatible; require an explicit compatible migration. 3. Inspect user state, side effects, audit and any recovery queue.</x:v>
      </x:c>
      <x:c r="K247" s="8" t="str">
        <x:v>Rollback after a schema change that makes old config incompatible; require an explicit compatible migration. Evidence must show the actual final state and any accountable unresolved work.</x:v>
      </x:c>
      <x:c r="L247" s="10" t="str">
        <x:v>Not run</x:v>
      </x:c>
      <x:c r="M247" s="10" t="str">
        <x:v>QA with Deployment operations</x:v>
      </x:c>
      <x:c r="N247" s="10" t="str"/>
      <x:c r="O247" s="10" t="str"/>
      <x:c r="P247" s="8" t="n">
        <x:f>IF(LEN(N247)&gt;0,1,0)</x:f>
        <x:v>0</x:v>
      </x:c>
    </x:row>
    <x:row r="248" ht="47.25" customHeight="1">
      <x:c r="A248" s="7" t="str">
        <x:v>TC-BR-OPS-04-A</x:v>
      </x:c>
      <x:c r="B248" s="7" t="str">
        <x:v>BR-OPS-04</x:v>
      </x:c>
      <x:c r="C248" s="7" t="str">
        <x:v>FR-OPS-04</x:v>
      </x:c>
      <x:c r="D248" s="7" t="str">
        <x:v>Operational monitoring acceptance</x:v>
      </x:c>
      <x:c r="E248" s="7" t="str">
        <x:v>Functional</x:v>
      </x:c>
      <x:c r="F248" s="7" t="str">
        <x:v>Must</x:v>
      </x:c>
      <x:c r="G248" s="7" t="str">
        <x:v>R1</x:v>
      </x:c>
      <x:c r="H248" s="7" t="str">
        <x:v>FX-OPS-04</x:v>
      </x:c>
      <x:c r="I248" s="7" t="str">
        <x:v>Synthetic tenant A; verified actor with intended scope; relevant pack and connector test profile active; reset fixture before execution.</x:v>
      </x:c>
      <x:c r="J248" s="7" t="str">
        <x:v>1. Load FX-OPS-04. 2. Alert rules cover service, queue, provider, policy and cost failures and route to an accountable team. 3. Capture UI/API results and stored receipt or audit evidence.</x:v>
      </x:c>
      <x:c r="K248" s="7" t="str">
        <x:v>An induced provider outage and a stalled writeback queue reach the correct support owner within the agreed alert target.</x:v>
      </x:c>
      <x:c r="L248" s="10" t="str">
        <x:v>Not run</x:v>
      </x:c>
      <x:c r="M248" s="10" t="str">
        <x:v>QA with Deployment operations</x:v>
      </x:c>
      <x:c r="N248" s="10" t="str"/>
      <x:c r="O248" s="10" t="str"/>
      <x:c r="P248" s="7" t="n">
        <x:f>IF(LEN(N248)&gt;0,1,0)</x:f>
        <x:v>0</x:v>
      </x:c>
    </x:row>
    <x:row r="249" ht="47.25" customHeight="1">
      <x:c r="A249" s="8" t="str">
        <x:v>TC-BR-OPS-04-B</x:v>
      </x:c>
      <x:c r="B249" s="8" t="str">
        <x:v>BR-OPS-04</x:v>
      </x:c>
      <x:c r="C249" s="8" t="str">
        <x:v>FR-OPS-04</x:v>
      </x:c>
      <x:c r="D249" s="8" t="str">
        <x:v>Operational monitoring adverse condition</x:v>
      </x:c>
      <x:c r="E249" s="8" t="str">
        <x:v>Negative or recovery</x:v>
      </x:c>
      <x:c r="F249" s="8" t="str">
        <x:v>Must</x:v>
      </x:c>
      <x:c r="G249" s="8" t="str">
        <x:v>R1</x:v>
      </x:c>
      <x:c r="H249" s="8" t="str">
        <x:v>FX-OPS-04-NEG</x:v>
      </x:c>
      <x:c r="I249" s="8" t="str">
        <x:v>Isolated synthetic tenant; begin from the corresponding acceptance scenario; inject only the named adverse condition.</x:v>
      </x:c>
      <x:c r="J249" s="8" t="str">
        <x:v>1. Establish the normal precondition. 2. Stall an outbound queue without process failure; a queue-age alert must still fire. 3. Inspect user state, side effects, audit and any recovery queue.</x:v>
      </x:c>
      <x:c r="K249" s="8" t="str">
        <x:v>Stall an outbound queue without process failure; a queue-age alert must still fire. Evidence must show the actual final state and any accountable unresolved work.</x:v>
      </x:c>
      <x:c r="L249" s="10" t="str">
        <x:v>Not run</x:v>
      </x:c>
      <x:c r="M249" s="10" t="str">
        <x:v>QA with Deployment operations</x:v>
      </x:c>
      <x:c r="N249" s="10" t="str"/>
      <x:c r="O249" s="10" t="str"/>
      <x:c r="P249" s="8" t="n">
        <x:f>IF(LEN(N249)&gt;0,1,0)</x:f>
        <x:v>0</x:v>
      </x:c>
    </x:row>
    <x:row r="250" ht="47.25" customHeight="1">
      <x:c r="A250" s="7" t="str">
        <x:v>TC-BR-OPS-05-A</x:v>
      </x:c>
      <x:c r="B250" s="7" t="str">
        <x:v>BR-OPS-05</x:v>
      </x:c>
      <x:c r="C250" s="7" t="str">
        <x:v>FR-OPS-05</x:v>
      </x:c>
      <x:c r="D250" s="7" t="str">
        <x:v>Support without unnecessary disclosure acceptance</x:v>
      </x:c>
      <x:c r="E250" s="7" t="str">
        <x:v>Functional</x:v>
      </x:c>
      <x:c r="F250" s="7" t="str">
        <x:v>Must</x:v>
      </x:c>
      <x:c r="G250" s="7" t="str">
        <x:v>R1</x:v>
      </x:c>
      <x:c r="H250" s="7" t="str">
        <x:v>FX-OPS-05</x:v>
      </x:c>
      <x:c r="I250" s="7" t="str">
        <x:v>Synthetic tenant A; verified actor with intended scope; relevant pack and connector test profile active; reset fixture before execution.</x:v>
      </x:c>
      <x:c r="J250" s="7" t="str">
        <x:v>1. Load FX-OPS-05. 2. Support tickets expose redacted diagnostics first. Clinical content requires a separate scoped expiring grant. 3. Capture UI/API results and stored receipt or audit evidence.</x:v>
      </x:c>
      <x:c r="K250" s="7" t="str">
        <x:v>A routine support agent can diagnose a sync failure without unrestricted patient access; exceptional access is logged and expires.</x:v>
      </x:c>
      <x:c r="L250" s="10" t="str">
        <x:v>Not run</x:v>
      </x:c>
      <x:c r="M250" s="10" t="str">
        <x:v>QA with Deployment operations</x:v>
      </x:c>
      <x:c r="N250" s="10" t="str"/>
      <x:c r="O250" s="10" t="str"/>
      <x:c r="P250" s="7" t="n">
        <x:f>IF(LEN(N250)&gt;0,1,0)</x:f>
        <x:v>0</x:v>
      </x:c>
    </x:row>
    <x:row r="251" ht="47.25" customHeight="1">
      <x:c r="A251" s="8" t="str">
        <x:v>TC-BR-OPS-05-B</x:v>
      </x:c>
      <x:c r="B251" s="8" t="str">
        <x:v>BR-OPS-05</x:v>
      </x:c>
      <x:c r="C251" s="8" t="str">
        <x:v>FR-OPS-05</x:v>
      </x:c>
      <x:c r="D251" s="8" t="str">
        <x:v>Support without unnecessary disclosure adverse condition</x:v>
      </x:c>
      <x:c r="E251" s="8" t="str">
        <x:v>Negative or recovery</x:v>
      </x:c>
      <x:c r="F251" s="8" t="str">
        <x:v>Must</x:v>
      </x:c>
      <x:c r="G251" s="8" t="str">
        <x:v>R1</x:v>
      </x:c>
      <x:c r="H251" s="8" t="str">
        <x:v>FX-OPS-05-NEG</x:v>
      </x:c>
      <x:c r="I251" s="8" t="str">
        <x:v>Isolated synthetic tenant; begin from the corresponding acceptance scenario; inject only the named adverse condition.</x:v>
      </x:c>
      <x:c r="J251" s="8" t="str">
        <x:v>1. Establish the normal precondition. 2. Open a ticket as general support staff; no patient record is visible by default. 3. Inspect user state, side effects, audit and any recovery queue.</x:v>
      </x:c>
      <x:c r="K251" s="8" t="str">
        <x:v>Open a ticket as general support staff; no patient record is visible by default. Evidence must show the actual final state and any accountable unresolved work.</x:v>
      </x:c>
      <x:c r="L251" s="10" t="str">
        <x:v>Not run</x:v>
      </x:c>
      <x:c r="M251" s="10" t="str">
        <x:v>QA with Deployment operations</x:v>
      </x:c>
      <x:c r="N251" s="10" t="str"/>
      <x:c r="O251" s="10" t="str"/>
      <x:c r="P251" s="8" t="n">
        <x:f>IF(LEN(N251)&gt;0,1,0)</x:f>
        <x:v>0</x:v>
      </x:c>
    </x:row>
    <x:row r="252" ht="47.25" customHeight="1">
      <x:c r="A252" s="7" t="str">
        <x:v>TC-BR-OPS-06-A</x:v>
      </x:c>
      <x:c r="B252" s="7" t="str">
        <x:v>BR-OPS-06</x:v>
      </x:c>
      <x:c r="C252" s="7" t="str">
        <x:v>FR-OPS-06</x:v>
      </x:c>
      <x:c r="D252" s="7" t="str">
        <x:v>Training and competency acceptance</x:v>
      </x:c>
      <x:c r="E252" s="7" t="str">
        <x:v>Functional</x:v>
      </x:c>
      <x:c r="F252" s="7" t="str">
        <x:v>Must</x:v>
      </x:c>
      <x:c r="G252" s="7" t="str">
        <x:v>R1</x:v>
      </x:c>
      <x:c r="H252" s="7" t="str">
        <x:v>FX-OPS-06</x:v>
      </x:c>
      <x:c r="I252" s="7" t="str">
        <x:v>Synthetic tenant A; verified actor with intended scope; relevant pack and connector test profile active; reset fixture before execution.</x:v>
      </x:c>
      <x:c r="J252" s="7" t="str">
        <x:v>1. Load FX-OPS-06. 2. Activation records completed role-specific training and a competency assessment in the synthetic environment. 3. Capture UI/API results and stored receipt or audit evidence.</x:v>
      </x:c>
      <x:c r="K252" s="7" t="str">
        <x:v>Activation records show training completion and role-specific competency evidence for the pilot cohort.</x:v>
      </x:c>
      <x:c r="L252" s="10" t="str">
        <x:v>Not run</x:v>
      </x:c>
      <x:c r="M252" s="10" t="str">
        <x:v>QA with Deployment operations</x:v>
      </x:c>
      <x:c r="N252" s="10" t="str"/>
      <x:c r="O252" s="10" t="str"/>
      <x:c r="P252" s="7" t="n">
        <x:f>IF(LEN(N252)&gt;0,1,0)</x:f>
        <x:v>0</x:v>
      </x:c>
    </x:row>
    <x:row r="253" ht="47.25" customHeight="1">
      <x:c r="A253" s="8" t="str">
        <x:v>TC-BR-OPS-06-B</x:v>
      </x:c>
      <x:c r="B253" s="8" t="str">
        <x:v>BR-OPS-06</x:v>
      </x:c>
      <x:c r="C253" s="8" t="str">
        <x:v>FR-OPS-06</x:v>
      </x:c>
      <x:c r="D253" s="8" t="str">
        <x:v>Training and competency adverse condition</x:v>
      </x:c>
      <x:c r="E253" s="8" t="str">
        <x:v>Negative or recovery</x:v>
      </x:c>
      <x:c r="F253" s="8" t="str">
        <x:v>Must</x:v>
      </x:c>
      <x:c r="G253" s="8" t="str">
        <x:v>R1</x:v>
      </x:c>
      <x:c r="H253" s="8" t="str">
        <x:v>FX-OPS-06-NEG</x:v>
      </x:c>
      <x:c r="I253" s="8" t="str">
        <x:v>Isolated synthetic tenant; begin from the corresponding acceptance scenario; inject only the named adverse condition.</x:v>
      </x:c>
      <x:c r="J253" s="8" t="str">
        <x:v>1. Establish the normal precondition. 2. A worker fails patient-matching competency; live account activation remains restricted. 3. Inspect user state, side effects, audit and any recovery queue.</x:v>
      </x:c>
      <x:c r="K253" s="8" t="str">
        <x:v>A worker fails patient-matching competency; live account activation remains restricted. Evidence must show the actual final state and any accountable unresolved work.</x:v>
      </x:c>
      <x:c r="L253" s="10" t="str">
        <x:v>Not run</x:v>
      </x:c>
      <x:c r="M253" s="10" t="str">
        <x:v>QA with Deployment operations</x:v>
      </x:c>
      <x:c r="N253" s="10" t="str"/>
      <x:c r="O253" s="10" t="str"/>
      <x:c r="P253" s="8" t="n">
        <x:f>IF(LEN(N253)&gt;0,1,0)</x:f>
        <x:v>0</x:v>
      </x:c>
    </x:row>
    <x:row r="254" ht="47.25" customHeight="1">
      <x:c r="A254" s="7" t="str">
        <x:v>TC-BR-OPS-07-A</x:v>
      </x:c>
      <x:c r="B254" s="7" t="str">
        <x:v>BR-OPS-07</x:v>
      </x:c>
      <x:c r="C254" s="7" t="str">
        <x:v>FR-OPS-07</x:v>
      </x:c>
      <x:c r="D254" s="7" t="str">
        <x:v>Data exit and continuity acceptance</x:v>
      </x:c>
      <x:c r="E254" s="7" t="str">
        <x:v>Functional</x:v>
      </x:c>
      <x:c r="F254" s="7" t="str">
        <x:v>Must</x:v>
      </x:c>
      <x:c r="G254" s="7" t="str">
        <x:v>R1</x:v>
      </x:c>
      <x:c r="H254" s="7" t="str">
        <x:v>FX-OPS-07</x:v>
      </x:c>
      <x:c r="I254" s="7" t="str">
        <x:v>Synthetic tenant A; verified actor with intended scope; relevant pack and connector test profile active; reset fixture before execution.</x:v>
      </x:c>
      <x:c r="J254" s="7" t="str">
        <x:v>1. Load FX-OPS-07. 2. Exit exports preserve IDs, provenance, record versions and open tasks; verify counts with the receiving operator. 3. Capture UI/API results and stored receipt or audit evidence.</x:v>
      </x:c>
      <x:c r="K254" s="7" t="str">
        <x:v>An exit rehearsal produces a usable export, a list of unresolved external actions and a named owner for open patient tasks.</x:v>
      </x:c>
      <x:c r="L254" s="10" t="str">
        <x:v>Not run</x:v>
      </x:c>
      <x:c r="M254" s="10" t="str">
        <x:v>QA with Deployment operations</x:v>
      </x:c>
      <x:c r="N254" s="10" t="str"/>
      <x:c r="O254" s="10" t="str"/>
      <x:c r="P254" s="7" t="n">
        <x:f>IF(LEN(N254)&gt;0,1,0)</x:f>
        <x:v>0</x:v>
      </x:c>
    </x:row>
    <x:row r="255" ht="47.25" customHeight="1">
      <x:c r="A255" s="8" t="str">
        <x:v>TC-BR-OPS-07-B</x:v>
      </x:c>
      <x:c r="B255" s="8" t="str">
        <x:v>BR-OPS-07</x:v>
      </x:c>
      <x:c r="C255" s="8" t="str">
        <x:v>FR-OPS-07</x:v>
      </x:c>
      <x:c r="D255" s="8" t="str">
        <x:v>Data exit and continuity adverse condition</x:v>
      </x:c>
      <x:c r="E255" s="8" t="str">
        <x:v>Negative or recovery</x:v>
      </x:c>
      <x:c r="F255" s="8" t="str">
        <x:v>Must</x:v>
      </x:c>
      <x:c r="G255" s="8" t="str">
        <x:v>R1</x:v>
      </x:c>
      <x:c r="H255" s="8" t="str">
        <x:v>FX-OPS-07-NEG</x:v>
      </x:c>
      <x:c r="I255" s="8" t="str">
        <x:v>Isolated synthetic tenant; begin from the corresponding acceptance scenario; inject only the named adverse condition.</x:v>
      </x:c>
      <x:c r="J255" s="8" t="str">
        <x:v>1. Establish the normal precondition. 2. Terminate a provider while work is queued; no accepted local records or outstanding care tasks are lost. 3. Inspect user state, side effects, audit and any recovery queue.</x:v>
      </x:c>
      <x:c r="K255" s="8" t="str">
        <x:v>Terminate a provider while work is queued; no accepted local records or outstanding care tasks are lost. Evidence must show the actual final state and any accountable unresolved work.</x:v>
      </x:c>
      <x:c r="L255" s="10" t="str">
        <x:v>Not run</x:v>
      </x:c>
      <x:c r="M255" s="10" t="str">
        <x:v>QA with Deployment operations</x:v>
      </x:c>
      <x:c r="N255" s="10" t="str"/>
      <x:c r="O255" s="10" t="str"/>
      <x:c r="P255" s="8" t="n">
        <x:f>IF(LEN(N255)&gt;0,1,0)</x:f>
        <x:v>0</x:v>
      </x:c>
    </x:row>
    <x:row r="256" ht="47.25" customHeight="1">
      <x:c r="A256" s="7" t="str">
        <x:v>TC-BR-OPS-08-A</x:v>
      </x:c>
      <x:c r="B256" s="7" t="str">
        <x:v>BR-OPS-08</x:v>
      </x:c>
      <x:c r="C256" s="7" t="str">
        <x:v>FR-OPS-08</x:v>
      </x:c>
      <x:c r="D256" s="7" t="str">
        <x:v>Repeatable deployment packaging acceptance</x:v>
      </x:c>
      <x:c r="E256" s="7" t="str">
        <x:v>Functional</x:v>
      </x:c>
      <x:c r="F256" s="7" t="str">
        <x:v>Should</x:v>
      </x:c>
      <x:c r="G256" s="7" t="str">
        <x:v>R2</x:v>
      </x:c>
      <x:c r="H256" s="7" t="str">
        <x:v>FX-OPS-08</x:v>
      </x:c>
      <x:c r="I256" s="7" t="str">
        <x:v>Synthetic tenant A; verified actor with intended scope; relevant pack and connector test profile active; reset fixture before execution.</x:v>
      </x:c>
      <x:c r="J256" s="7" t="str">
        <x:v>1. Load FX-OPS-08. 2. A deployment manifest packages reviewed config and references secrets by name rather than embedding them. 3. Capture UI/API results and stored receipt or audit evidence.</x:v>
      </x:c>
      <x:c r="K256" s="7" t="str">
        <x:v>A second deployment can be assembled from the pack with explicit local differences and no copied production patient data.</x:v>
      </x:c>
      <x:c r="L256" s="10" t="str">
        <x:v>Not run</x:v>
      </x:c>
      <x:c r="M256" s="10" t="str">
        <x:v>QA with Deployment operations</x:v>
      </x:c>
      <x:c r="N256" s="10" t="str"/>
      <x:c r="O256" s="10" t="str"/>
      <x:c r="P256" s="7" t="n">
        <x:f>IF(LEN(N256)&gt;0,1,0)</x:f>
        <x:v>0</x:v>
      </x:c>
    </x:row>
    <x:row r="257" ht="47.25" customHeight="1">
      <x:c r="A257" s="8" t="str">
        <x:v>TC-BR-OPS-08-B</x:v>
      </x:c>
      <x:c r="B257" s="8" t="str">
        <x:v>BR-OPS-08</x:v>
      </x:c>
      <x:c r="C257" s="8" t="str">
        <x:v>FR-OPS-08</x:v>
      </x:c>
      <x:c r="D257" s="8" t="str">
        <x:v>Repeatable deployment packaging adverse condition</x:v>
      </x:c>
      <x:c r="E257" s="8" t="str">
        <x:v>Negative or recovery</x:v>
      </x:c>
      <x:c r="F257" s="8" t="str">
        <x:v>Should</x:v>
      </x:c>
      <x:c r="G257" s="8" t="str">
        <x:v>R2</x:v>
      </x:c>
      <x:c r="H257" s="8" t="str">
        <x:v>FX-OPS-08-NEG</x:v>
      </x:c>
      <x:c r="I257" s="8" t="str">
        <x:v>Isolated synthetic tenant; begin from the corresponding acceptance scenario; inject only the named adverse condition.</x:v>
      </x:c>
      <x:c r="J257" s="8" t="str">
        <x:v>1. Establish the normal precondition. 2. Copy a deployment pack; it must contain no live patient data or reusable production secret. 3. Inspect user state, side effects, audit and any recovery queue.</x:v>
      </x:c>
      <x:c r="K257" s="8" t="str">
        <x:v>Copy a deployment pack; it must contain no live patient data or reusable production secret. Evidence must show the actual final state and any accountable unresolved work.</x:v>
      </x:c>
      <x:c r="L257" s="10" t="str">
        <x:v>Not run</x:v>
      </x:c>
      <x:c r="M257" s="10" t="str">
        <x:v>QA with Deployment operations</x:v>
      </x:c>
      <x:c r="N257" s="10" t="str"/>
      <x:c r="O257" s="10" t="str"/>
      <x:c r="P257" s="8" t="n">
        <x:f>IF(LEN(N257)&gt;0,1,0)</x:f>
        <x:v>0</x:v>
      </x:c>
    </x:row>
    <x:row r="258" ht="47.25" customHeight="1">
      <x:c r="A258" s="7" t="str">
        <x:v>TC-BR-SEC-01-A</x:v>
      </x:c>
      <x:c r="B258" s="7" t="str">
        <x:v>BR-SEC-01</x:v>
      </x:c>
      <x:c r="C258" s="7" t="str">
        <x:v>FR-SEC-01</x:v>
      </x:c>
      <x:c r="D258" s="7" t="str">
        <x:v>Purpose and lawful authority acceptance</x:v>
      </x:c>
      <x:c r="E258" s="7" t="str">
        <x:v>Functional</x:v>
      </x:c>
      <x:c r="F258" s="7" t="str">
        <x:v>Must</x:v>
      </x:c>
      <x:c r="G258" s="7" t="str">
        <x:v>R1</x:v>
      </x:c>
      <x:c r="H258" s="7" t="str">
        <x:v>FX-SEC-01</x:v>
      </x:c>
      <x:c r="I258" s="7" t="str">
        <x:v>Synthetic tenant A; verified actor with intended scope; relevant pack and connector test profile active; reset fixture before execution.</x:v>
      </x:c>
      <x:c r="J258" s="7" t="str">
        <x:v>1. Load FX-SEC-01. 2. Authority records distinguish consent-based flows from other approved processing bases and specify allowed purpose and recipients. 3. Capture UI/API results and stored receipt or audit evidence.</x:v>
      </x:c>
      <x:c r="K258" s="7" t="str">
        <x:v>A new provider or connector cannot activate without an approved data-flow record, and a user clicking confirm cannot override an absent processing basis.</x:v>
      </x:c>
      <x:c r="L258" s="10" t="str">
        <x:v>Not run</x:v>
      </x:c>
      <x:c r="M258" s="10" t="str">
        <x:v>QA with Privacy and security owners</x:v>
      </x:c>
      <x:c r="N258" s="10" t="str"/>
      <x:c r="O258" s="10" t="str"/>
      <x:c r="P258" s="7" t="n">
        <x:f>IF(LEN(N258)&gt;0,1,0)</x:f>
        <x:v>0</x:v>
      </x:c>
    </x:row>
    <x:row r="259" ht="47.25" customHeight="1">
      <x:c r="A259" s="8" t="str">
        <x:v>TC-BR-SEC-01-B</x:v>
      </x:c>
      <x:c r="B259" s="8" t="str">
        <x:v>BR-SEC-01</x:v>
      </x:c>
      <x:c r="C259" s="8" t="str">
        <x:v>FR-SEC-01</x:v>
      </x:c>
      <x:c r="D259" s="8" t="str">
        <x:v>Purpose and lawful authority adverse condition</x:v>
      </x:c>
      <x:c r="E259" s="8" t="str">
        <x:v>Negative or recovery</x:v>
      </x:c>
      <x:c r="F259" s="8" t="str">
        <x:v>Must</x:v>
      </x:c>
      <x:c r="G259" s="8" t="str">
        <x:v>R1</x:v>
      </x:c>
      <x:c r="H259" s="8" t="str">
        <x:v>FX-SEC-01-NEG</x:v>
      </x:c>
      <x:c r="I259" s="8" t="str">
        <x:v>Isolated synthetic tenant; begin from the corresponding acceptance scenario; inject only the named adverse condition.</x:v>
      </x:c>
      <x:c r="J259" s="8" t="str">
        <x:v>1. Establish the normal precondition. 2. Activate a new data flow with no documented basis; policy must block it. 3. Inspect user state, side effects, audit and any recovery queue.</x:v>
      </x:c>
      <x:c r="K259" s="8" t="str">
        <x:v>Activate a new data flow with no documented basis; policy must block it. Evidence must show the actual final state and any accountable unresolved work.</x:v>
      </x:c>
      <x:c r="L259" s="10" t="str">
        <x:v>Not run</x:v>
      </x:c>
      <x:c r="M259" s="10" t="str">
        <x:v>QA with Privacy and security owners</x:v>
      </x:c>
      <x:c r="N259" s="10" t="str"/>
      <x:c r="O259" s="10" t="str"/>
      <x:c r="P259" s="8" t="n">
        <x:f>IF(LEN(N259)&gt;0,1,0)</x:f>
        <x:v>0</x:v>
      </x:c>
    </x:row>
    <x:row r="260" ht="47.25" customHeight="1">
      <x:c r="A260" s="7" t="str">
        <x:v>TC-BR-SEC-02-A</x:v>
      </x:c>
      <x:c r="B260" s="7" t="str">
        <x:v>BR-SEC-02</x:v>
      </x:c>
      <x:c r="C260" s="7" t="str">
        <x:v>FR-SEC-02</x:v>
      </x:c>
      <x:c r="D260" s="7" t="str">
        <x:v>Understandable notice and consent acceptance</x:v>
      </x:c>
      <x:c r="E260" s="7" t="str">
        <x:v>Functional</x:v>
      </x:c>
      <x:c r="F260" s="7" t="str">
        <x:v>Must</x:v>
      </x:c>
      <x:c r="G260" s="7" t="str">
        <x:v>R1</x:v>
      </x:c>
      <x:c r="H260" s="7" t="str">
        <x:v>FX-SEC-02</x:v>
      </x:c>
      <x:c r="I260" s="7" t="str">
        <x:v>Synthetic tenant A; verified actor with intended scope; relevant pack and connector test profile active; reset fixture before execution.</x:v>
      </x:c>
      <x:c r="J260" s="7" t="str">
        <x:v>1. Load FX-SEC-02. 2. Notices have language and version, and record the actor, relationship, decision, time and purpose. 3. Capture UI/API results and stored receipt or audit evidence.</x:v>
      </x:c>
      <x:c r="K260" s="7" t="str">
        <x:v>Declining an optional AI recording leaves the approved non-AI care workflow available and prevents that media from being sent.</x:v>
      </x:c>
      <x:c r="L260" s="10" t="str">
        <x:v>Not run</x:v>
      </x:c>
      <x:c r="M260" s="10" t="str">
        <x:v>QA with Privacy and security owners</x:v>
      </x:c>
      <x:c r="N260" s="10" t="str"/>
      <x:c r="O260" s="10" t="str"/>
      <x:c r="P260" s="7" t="n">
        <x:f>IF(LEN(N260)&gt;0,1,0)</x:f>
        <x:v>0</x:v>
      </x:c>
    </x:row>
    <x:row r="261" ht="47.25" customHeight="1">
      <x:c r="A261" s="8" t="str">
        <x:v>TC-BR-SEC-02-B</x:v>
      </x:c>
      <x:c r="B261" s="8" t="str">
        <x:v>BR-SEC-02</x:v>
      </x:c>
      <x:c r="C261" s="8" t="str">
        <x:v>FR-SEC-02</x:v>
      </x:c>
      <x:c r="D261" s="8" t="str">
        <x:v>Understandable notice and consent adverse condition</x:v>
      </x:c>
      <x:c r="E261" s="8" t="str">
        <x:v>Negative or recovery</x:v>
      </x:c>
      <x:c r="F261" s="8" t="str">
        <x:v>Must</x:v>
      </x:c>
      <x:c r="G261" s="8" t="str">
        <x:v>R1</x:v>
      </x:c>
      <x:c r="H261" s="8" t="str">
        <x:v>FX-SEC-02-NEG</x:v>
      </x:c>
      <x:c r="I261" s="8" t="str">
        <x:v>Isolated synthetic tenant; begin from the corresponding acceptance scenario; inject only the named adverse condition.</x:v>
      </x:c>
      <x:c r="J261" s="8" t="str">
        <x:v>1. Establish the normal precondition. 2. Decline optional AI consent; the approved ordinary care workflow remains available. 3. Inspect user state, side effects, audit and any recovery queue.</x:v>
      </x:c>
      <x:c r="K261" s="8" t="str">
        <x:v>Decline optional AI consent; the approved ordinary care workflow remains available. Evidence must show the actual final state and any accountable unresolved work.</x:v>
      </x:c>
      <x:c r="L261" s="10" t="str">
        <x:v>Not run</x:v>
      </x:c>
      <x:c r="M261" s="10" t="str">
        <x:v>QA with Privacy and security owners</x:v>
      </x:c>
      <x:c r="N261" s="10" t="str"/>
      <x:c r="O261" s="10" t="str"/>
      <x:c r="P261" s="8" t="n">
        <x:f>IF(LEN(N261)&gt;0,1,0)</x:f>
        <x:v>0</x:v>
      </x:c>
    </x:row>
    <x:row r="262" ht="47.25" customHeight="1">
      <x:c r="A262" s="7" t="str">
        <x:v>TC-BR-SEC-03-A</x:v>
      </x:c>
      <x:c r="B262" s="7" t="str">
        <x:v>BR-SEC-03</x:v>
      </x:c>
      <x:c r="C262" s="7" t="str">
        <x:v>FR-SEC-03</x:v>
      </x:c>
      <x:c r="D262" s="7" t="str">
        <x:v>Withdrawal and downstream effects acceptance</x:v>
      </x:c>
      <x:c r="E262" s="7" t="str">
        <x:v>Functional</x:v>
      </x:c>
      <x:c r="F262" s="7" t="str">
        <x:v>Must</x:v>
      </x:c>
      <x:c r="G262" s="7" t="str">
        <x:v>R1</x:v>
      </x:c>
      <x:c r="H262" s="7" t="str">
        <x:v>FX-SEC-03</x:v>
      </x:c>
      <x:c r="I262" s="7" t="str">
        <x:v>Synthetic tenant A; verified actor with intended scope; relevant pack and connector test profile active; reset fixture before execution.</x:v>
      </x:c>
      <x:c r="J262" s="7" t="str">
        <x:v>1. Load FX-SEC-03. 2. Revocation invalidates pending disclosures immediately online and schedules device and recipient disposition actions. 3. Capture UI/API results and stored receipt or audit evidence.</x:v>
      </x:c>
      <x:c r="K262" s="7" t="str">
        <x:v>Revocation blocks a queued provider upload and produces a traceable disposition record; the system does not claim to erase an external record without evidence.</x:v>
      </x:c>
      <x:c r="L262" s="10" t="str">
        <x:v>Not run</x:v>
      </x:c>
      <x:c r="M262" s="10" t="str">
        <x:v>QA with Privacy and security owners</x:v>
      </x:c>
      <x:c r="N262" s="10" t="str"/>
      <x:c r="O262" s="10" t="str"/>
      <x:c r="P262" s="7" t="n">
        <x:f>IF(LEN(N262)&gt;0,1,0)</x:f>
        <x:v>0</x:v>
      </x:c>
    </x:row>
    <x:row r="263" ht="47.25" customHeight="1">
      <x:c r="A263" s="8" t="str">
        <x:v>TC-BR-SEC-03-B</x:v>
      </x:c>
      <x:c r="B263" s="8" t="str">
        <x:v>BR-SEC-03</x:v>
      </x:c>
      <x:c r="C263" s="8" t="str">
        <x:v>FR-SEC-03</x:v>
      </x:c>
      <x:c r="D263" s="8" t="str">
        <x:v>Withdrawal and downstream effects adverse condition</x:v>
      </x:c>
      <x:c r="E263" s="8" t="str">
        <x:v>Negative or recovery</x:v>
      </x:c>
      <x:c r="F263" s="8" t="str">
        <x:v>Must</x:v>
      </x:c>
      <x:c r="G263" s="8" t="str">
        <x:v>R1</x:v>
      </x:c>
      <x:c r="H263" s="8" t="str">
        <x:v>FX-SEC-03-NEG</x:v>
      </x:c>
      <x:c r="I263" s="8" t="str">
        <x:v>Isolated synthetic tenant; begin from the corresponding acceptance scenario; inject only the named adverse condition.</x:v>
      </x:c>
      <x:c r="J263" s="8" t="str">
        <x:v>1. Establish the normal precondition. 2. Withdraw after a provider already received data; show downstream action pending rather than claiming instantaneous erasure. 3. Inspect user state, side effects, audit and any recovery queue.</x:v>
      </x:c>
      <x:c r="K263" s="8" t="str">
        <x:v>Withdraw after a provider already received data; show downstream action pending rather than claiming instantaneous erasure. Evidence must show the actual final state and any accountable unresolved work.</x:v>
      </x:c>
      <x:c r="L263" s="10" t="str">
        <x:v>Not run</x:v>
      </x:c>
      <x:c r="M263" s="10" t="str">
        <x:v>QA with Privacy and security owners</x:v>
      </x:c>
      <x:c r="N263" s="10" t="str"/>
      <x:c r="O263" s="10" t="str"/>
      <x:c r="P263" s="8" t="n">
        <x:f>IF(LEN(N263)&gt;0,1,0)</x:f>
        <x:v>0</x:v>
      </x:c>
    </x:row>
    <x:row r="264" ht="47.25" customHeight="1">
      <x:c r="A264" s="7" t="str">
        <x:v>TC-BR-SEC-04-A</x:v>
      </x:c>
      <x:c r="B264" s="7" t="str">
        <x:v>BR-SEC-04</x:v>
      </x:c>
      <x:c r="C264" s="7" t="str">
        <x:v>FR-SEC-04</x:v>
      </x:c>
      <x:c r="D264" s="7" t="str">
        <x:v>Sensitive data and proxy handling acceptance</x:v>
      </x:c>
      <x:c r="E264" s="7" t="str">
        <x:v>Functional</x:v>
      </x:c>
      <x:c r="F264" s="7" t="str">
        <x:v>Must</x:v>
      </x:c>
      <x:c r="G264" s="7" t="str">
        <x:v>R1</x:v>
      </x:c>
      <x:c r="H264" s="7" t="str">
        <x:v>FX-SEC-04</x:v>
      </x:c>
      <x:c r="I264" s="7" t="str">
        <x:v>Synthetic tenant A; verified actor with intended scope; relevant pack and connector test profile active; reset fixture before execution.</x:v>
      </x:c>
      <x:c r="J264" s="7" t="str">
        <x:v>1. Load FX-SEC-04. 2. Sensitive data classes and proxy rules are evaluated before views, exports, notifications and model payload construction. 3. Capture UI/API results and stored receipt or audit evidence.</x:v>
      </x:c>
      <x:c r="K264" s="7" t="str">
        <x:v>A household member cannot infer restricted information through summaries, notifications, shared schedules or access to another member's encounter.</x:v>
      </x:c>
      <x:c r="L264" s="10" t="str">
        <x:v>Not run</x:v>
      </x:c>
      <x:c r="M264" s="10" t="str">
        <x:v>QA with Privacy and security owners</x:v>
      </x:c>
      <x:c r="N264" s="10" t="str"/>
      <x:c r="O264" s="10" t="str"/>
      <x:c r="P264" s="7" t="n">
        <x:f>IF(LEN(N264)&gt;0,1,0)</x:f>
        <x:v>0</x:v>
      </x:c>
    </x:row>
    <x:row r="265" ht="47.25" customHeight="1">
      <x:c r="A265" s="8" t="str">
        <x:v>TC-BR-SEC-04-B</x:v>
      </x:c>
      <x:c r="B265" s="8" t="str">
        <x:v>BR-SEC-04</x:v>
      </x:c>
      <x:c r="C265" s="8" t="str">
        <x:v>FR-SEC-04</x:v>
      </x:c>
      <x:c r="D265" s="8" t="str">
        <x:v>Sensitive data and proxy handling adverse condition</x:v>
      </x:c>
      <x:c r="E265" s="8" t="str">
        <x:v>Negative or recovery</x:v>
      </x:c>
      <x:c r="F265" s="8" t="str">
        <x:v>Must</x:v>
      </x:c>
      <x:c r="G265" s="8" t="str">
        <x:v>R1</x:v>
      </x:c>
      <x:c r="H265" s="8" t="str">
        <x:v>FX-SEC-04-NEG</x:v>
      </x:c>
      <x:c r="I265" s="8" t="str">
        <x:v>Isolated synthetic tenant; begin from the corresponding acceptance scenario; inject only the named adverse condition.</x:v>
      </x:c>
      <x:c r="J265" s="8" t="str">
        <x:v>1. Establish the normal precondition. 2. A proxy for one purpose attempts unrelated confidential history; deny access. 3. Inspect user state, side effects, audit and any recovery queue.</x:v>
      </x:c>
      <x:c r="K265" s="8" t="str">
        <x:v>A proxy for one purpose attempts unrelated confidential history; deny access. Evidence must show the actual final state and any accountable unresolved work.</x:v>
      </x:c>
      <x:c r="L265" s="10" t="str">
        <x:v>Not run</x:v>
      </x:c>
      <x:c r="M265" s="10" t="str">
        <x:v>QA with Privacy and security owners</x:v>
      </x:c>
      <x:c r="N265" s="10" t="str"/>
      <x:c r="O265" s="10" t="str"/>
      <x:c r="P265" s="8" t="n">
        <x:f>IF(LEN(N265)&gt;0,1,0)</x:f>
        <x:v>0</x:v>
      </x:c>
    </x:row>
    <x:row r="266" ht="47.25" customHeight="1">
      <x:c r="A266" s="7" t="str">
        <x:v>TC-BR-SEC-05-A</x:v>
      </x:c>
      <x:c r="B266" s="7" t="str">
        <x:v>BR-SEC-05</x:v>
      </x:c>
      <x:c r="C266" s="7" t="str">
        <x:v>FR-SEC-05</x:v>
      </x:c>
      <x:c r="D266" s="7" t="str">
        <x:v>Encryption and secrets acceptance</x:v>
      </x:c>
      <x:c r="E266" s="7" t="str">
        <x:v>Functional</x:v>
      </x:c>
      <x:c r="F266" s="7" t="str">
        <x:v>Must</x:v>
      </x:c>
      <x:c r="G266" s="7" t="str">
        <x:v>R1</x:v>
      </x:c>
      <x:c r="H266" s="7" t="str">
        <x:v>FX-SEC-05</x:v>
      </x:c>
      <x:c r="I266" s="7" t="str">
        <x:v>Synthetic tenant A; verified actor with intended scope; relevant pack and connector test profile active; reset fixture before execution.</x:v>
      </x:c>
      <x:c r="J266" s="7" t="str">
        <x:v>1. Load FX-SEC-05. 2. TLS, envelope encryption and secret references protect data; key rotation and access are audited separately. 3. Capture UI/API results and stored receipt or audit evidence.</x:v>
      </x:c>
      <x:c r="K266" s="7" t="str">
        <x:v>Security review finds no usable provider keys in the client bundle or agent context, and local data is unreadable outside the authorised application.</x:v>
      </x:c>
      <x:c r="L266" s="10" t="str">
        <x:v>Not run</x:v>
      </x:c>
      <x:c r="M266" s="10" t="str">
        <x:v>QA with Privacy and security owners</x:v>
      </x:c>
      <x:c r="N266" s="10" t="str"/>
      <x:c r="O266" s="10" t="str"/>
      <x:c r="P266" s="7" t="n">
        <x:f>IF(LEN(N266)&gt;0,1,0)</x:f>
        <x:v>0</x:v>
      </x:c>
    </x:row>
    <x:row r="267" ht="47.25" customHeight="1">
      <x:c r="A267" s="8" t="str">
        <x:v>TC-BR-SEC-05-B</x:v>
      </x:c>
      <x:c r="B267" s="8" t="str">
        <x:v>BR-SEC-05</x:v>
      </x:c>
      <x:c r="C267" s="8" t="str">
        <x:v>FR-SEC-05</x:v>
      </x:c>
      <x:c r="D267" s="8" t="str">
        <x:v>Encryption and secrets adverse condition</x:v>
      </x:c>
      <x:c r="E267" s="8" t="str">
        <x:v>Negative or recovery</x:v>
      </x:c>
      <x:c r="F267" s="8" t="str">
        <x:v>Must</x:v>
      </x:c>
      <x:c r="G267" s="8" t="str">
        <x:v>R1</x:v>
      </x:c>
      <x:c r="H267" s="8" t="str">
        <x:v>FX-SEC-05-NEG</x:v>
      </x:c>
      <x:c r="I267" s="8" t="str">
        <x:v>Isolated synthetic tenant; begin from the corresponding acceptance scenario; inject only the named adverse condition.</x:v>
      </x:c>
      <x:c r="J267" s="8" t="str">
        <x:v>1. Establish the normal precondition. 2. Inspect mobile bundle, logs and model context; no provider secret or plaintext database key may exist. 3. Inspect user state, side effects, audit and any recovery queue.</x:v>
      </x:c>
      <x:c r="K267" s="8" t="str">
        <x:v>Inspect mobile bundle, logs and model context; no provider secret or plaintext database key may exist. Evidence must show the actual final state and any accountable unresolved work.</x:v>
      </x:c>
      <x:c r="L267" s="10" t="str">
        <x:v>Not run</x:v>
      </x:c>
      <x:c r="M267" s="10" t="str">
        <x:v>QA with Privacy and security owners</x:v>
      </x:c>
      <x:c r="N267" s="10" t="str"/>
      <x:c r="O267" s="10" t="str"/>
      <x:c r="P267" s="8" t="n">
        <x:f>IF(LEN(N267)&gt;0,1,0)</x:f>
        <x:v>0</x:v>
      </x:c>
    </x:row>
    <x:row r="268" ht="47.25" customHeight="1">
      <x:c r="A268" s="7" t="str">
        <x:v>TC-BR-SEC-06-A</x:v>
      </x:c>
      <x:c r="B268" s="7" t="str">
        <x:v>BR-SEC-06</x:v>
      </x:c>
      <x:c r="C268" s="7" t="str">
        <x:v>FR-SEC-06</x:v>
      </x:c>
      <x:c r="D268" s="7" t="str">
        <x:v>Tenant and record isolation acceptance</x:v>
      </x:c>
      <x:c r="E268" s="7" t="str">
        <x:v>Functional</x:v>
      </x:c>
      <x:c r="F268" s="7" t="str">
        <x:v>Must</x:v>
      </x:c>
      <x:c r="G268" s="7" t="str">
        <x:v>R1</x:v>
      </x:c>
      <x:c r="H268" s="7" t="str">
        <x:v>FX-SEC-06</x:v>
      </x:c>
      <x:c r="I268" s="7" t="str">
        <x:v>Synthetic tenant A; verified actor with intended scope; relevant pack and connector test profile active; reset fixture before execution.</x:v>
      </x:c>
      <x:c r="J268" s="7" t="str">
        <x:v>1. Load FX-SEC-06. 2. Every object query and attachment token enforces tenant and record policy; database RLS supplies a second tenant boundary. 3. Capture UI/API results and stored receipt or audit evidence.</x:v>
      </x:c>
      <x:c r="K268" s="7" t="str">
        <x:v>Cross-tenant adversarial tests and wrong-record reference tests result in denial with no content disclosure.</x:v>
      </x:c>
      <x:c r="L268" s="10" t="str">
        <x:v>Not run</x:v>
      </x:c>
      <x:c r="M268" s="10" t="str">
        <x:v>QA with Privacy and security owners</x:v>
      </x:c>
      <x:c r="N268" s="10" t="str"/>
      <x:c r="O268" s="10" t="str"/>
      <x:c r="P268" s="7" t="n">
        <x:f>IF(LEN(N268)&gt;0,1,0)</x:f>
        <x:v>0</x:v>
      </x:c>
    </x:row>
    <x:row r="269" ht="47.25" customHeight="1">
      <x:c r="A269" s="8" t="str">
        <x:v>TC-BR-SEC-06-B</x:v>
      </x:c>
      <x:c r="B269" s="8" t="str">
        <x:v>BR-SEC-06</x:v>
      </x:c>
      <x:c r="C269" s="8" t="str">
        <x:v>FR-SEC-06</x:v>
      </x:c>
      <x:c r="D269" s="8" t="str">
        <x:v>Tenant and record isolation adverse condition</x:v>
      </x:c>
      <x:c r="E269" s="8" t="str">
        <x:v>Negative or recovery</x:v>
      </x:c>
      <x:c r="F269" s="8" t="str">
        <x:v>Must</x:v>
      </x:c>
      <x:c r="G269" s="8" t="str">
        <x:v>R1</x:v>
      </x:c>
      <x:c r="H269" s="8" t="str">
        <x:v>FX-SEC-06-NEG</x:v>
      </x:c>
      <x:c r="I269" s="8" t="str">
        <x:v>Isolated synthetic tenant; begin from the corresponding acceptance scenario; inject only the named adverse condition.</x:v>
      </x:c>
      <x:c r="J269" s="8" t="str">
        <x:v>1. Establish the normal precondition. 2. Reuse another tenant object key or export URL; deny with no content disclosure. 3. Inspect user state, side effects, audit and any recovery queue.</x:v>
      </x:c>
      <x:c r="K269" s="8" t="str">
        <x:v>Reuse another tenant object key or export URL; deny with no content disclosure. Evidence must show the actual final state and any accountable unresolved work.</x:v>
      </x:c>
      <x:c r="L269" s="10" t="str">
        <x:v>Not run</x:v>
      </x:c>
      <x:c r="M269" s="10" t="str">
        <x:v>QA with Privacy and security owners</x:v>
      </x:c>
      <x:c r="N269" s="10" t="str"/>
      <x:c r="O269" s="10" t="str"/>
      <x:c r="P269" s="8" t="n">
        <x:f>IF(LEN(N269)&gt;0,1,0)</x:f>
        <x:v>0</x:v>
      </x:c>
    </x:row>
    <x:row r="270" ht="47.25" customHeight="1">
      <x:c r="A270" s="7" t="str">
        <x:v>TC-BR-SEC-07-A</x:v>
      </x:c>
      <x:c r="B270" s="7" t="str">
        <x:v>BR-SEC-07</x:v>
      </x:c>
      <x:c r="C270" s="7" t="str">
        <x:v>FR-SEC-07</x:v>
      </x:c>
      <x:c r="D270" s="7" t="str">
        <x:v>Safe logs and analytics acceptance</x:v>
      </x:c>
      <x:c r="E270" s="7" t="str">
        <x:v>Functional</x:v>
      </x:c>
      <x:c r="F270" s="7" t="str">
        <x:v>Must</x:v>
      </x:c>
      <x:c r="G270" s="7" t="str">
        <x:v>R1</x:v>
      </x:c>
      <x:c r="H270" s="7" t="str">
        <x:v>FX-SEC-07</x:v>
      </x:c>
      <x:c r="I270" s="7" t="str">
        <x:v>Synthetic tenant A; verified actor with intended scope; relevant pack and connector test profile active; reset fixture before execution.</x:v>
      </x:c>
      <x:c r="J270" s="7" t="str">
        <x:v>1. Load FX-SEC-07. 2. A structured logging allowlist excludes clinical values, credentials, raw prompts and recording bytes. 3. Capture UI/API results and stored receipt or audit evidence.</x:v>
      </x:c>
      <x:c r="K270" s="7" t="str">
        <x:v>A representative end-to-end test leaves no raw recording, credential or complete patient narrative in general operational telemetry.</x:v>
      </x:c>
      <x:c r="L270" s="10" t="str">
        <x:v>Not run</x:v>
      </x:c>
      <x:c r="M270" s="10" t="str">
        <x:v>QA with Privacy and security owners</x:v>
      </x:c>
      <x:c r="N270" s="10" t="str"/>
      <x:c r="O270" s="10" t="str"/>
      <x:c r="P270" s="7" t="n">
        <x:f>IF(LEN(N270)&gt;0,1,0)</x:f>
        <x:v>0</x:v>
      </x:c>
    </x:row>
    <x:row r="271" ht="47.25" customHeight="1">
      <x:c r="A271" s="8" t="str">
        <x:v>TC-BR-SEC-07-B</x:v>
      </x:c>
      <x:c r="B271" s="8" t="str">
        <x:v>BR-SEC-07</x:v>
      </x:c>
      <x:c r="C271" s="8" t="str">
        <x:v>FR-SEC-07</x:v>
      </x:c>
      <x:c r="D271" s="8" t="str">
        <x:v>Safe logs and analytics adverse condition</x:v>
      </x:c>
      <x:c r="E271" s="8" t="str">
        <x:v>Negative or recovery</x:v>
      </x:c>
      <x:c r="F271" s="8" t="str">
        <x:v>Must</x:v>
      </x:c>
      <x:c r="G271" s="8" t="str">
        <x:v>R1</x:v>
      </x:c>
      <x:c r="H271" s="8" t="str">
        <x:v>FX-SEC-07-NEG</x:v>
      </x:c>
      <x:c r="I271" s="8" t="str">
        <x:v>Isolated synthetic tenant; begin from the corresponding acceptance scenario; inject only the named adverse condition.</x:v>
      </x:c>
      <x:c r="J271" s="8" t="str">
        <x:v>1. Establish the normal precondition. 2. Trigger validation errors with sensitive input; logs show reason and correlation only. 3. Inspect user state, side effects, audit and any recovery queue.</x:v>
      </x:c>
      <x:c r="K271" s="8" t="str">
        <x:v>Trigger validation errors with sensitive input; logs show reason and correlation only. Evidence must show the actual final state and any accountable unresolved work.</x:v>
      </x:c>
      <x:c r="L271" s="10" t="str">
        <x:v>Not run</x:v>
      </x:c>
      <x:c r="M271" s="10" t="str">
        <x:v>QA with Privacy and security owners</x:v>
      </x:c>
      <x:c r="N271" s="10" t="str"/>
      <x:c r="O271" s="10" t="str"/>
      <x:c r="P271" s="8" t="n">
        <x:f>IF(LEN(N271)&gt;0,1,0)</x:f>
        <x:v>0</x:v>
      </x:c>
    </x:row>
    <x:row r="272" ht="47.25" customHeight="1">
      <x:c r="A272" s="7" t="str">
        <x:v>TC-BR-SEC-08-A</x:v>
      </x:c>
      <x:c r="B272" s="7" t="str">
        <x:v>BR-SEC-08</x:v>
      </x:c>
      <x:c r="C272" s="7" t="str">
        <x:v>FR-SEC-08</x:v>
      </x:c>
      <x:c r="D272" s="7" t="str">
        <x:v>Audit evidence acceptance</x:v>
      </x:c>
      <x:c r="E272" s="7" t="str">
        <x:v>Functional</x:v>
      </x:c>
      <x:c r="F272" s="7" t="str">
        <x:v>Must</x:v>
      </x:c>
      <x:c r="G272" s="7" t="str">
        <x:v>R1</x:v>
      </x:c>
      <x:c r="H272" s="7" t="str">
        <x:v>FX-SEC-08</x:v>
      </x:c>
      <x:c r="I272" s="7" t="str">
        <x:v>Synthetic tenant A; verified actor with intended scope; relevant pack and connector test profile active; reset fixture before execution.</x:v>
      </x:c>
      <x:c r="J272" s="7" t="str">
        <x:v>1. Load FX-SEC-08. 2. A material command commits its audit record atomically; durable read-access audit precedes sensitive data return. 3. Capture UI/API results and stored receipt or audit evidence.</x:v>
      </x:c>
      <x:c r="K272" s="7" t="str">
        <x:v>An auditor reconstructs a selected encounter and submission from evidence without relying on the chat transcript or provider recollection.</x:v>
      </x:c>
      <x:c r="L272" s="10" t="str">
        <x:v>Not run</x:v>
      </x:c>
      <x:c r="M272" s="10" t="str">
        <x:v>QA with Privacy and security owners</x:v>
      </x:c>
      <x:c r="N272" s="10" t="str"/>
      <x:c r="O272" s="10" t="str"/>
      <x:c r="P272" s="7" t="n">
        <x:f>IF(LEN(N272)&gt;0,1,0)</x:f>
        <x:v>0</x:v>
      </x:c>
    </x:row>
    <x:row r="273" ht="47.25" customHeight="1">
      <x:c r="A273" s="8" t="str">
        <x:v>TC-BR-SEC-08-B</x:v>
      </x:c>
      <x:c r="B273" s="8" t="str">
        <x:v>BR-SEC-08</x:v>
      </x:c>
      <x:c r="C273" s="8" t="str">
        <x:v>FR-SEC-08</x:v>
      </x:c>
      <x:c r="D273" s="8" t="str">
        <x:v>Audit evidence adverse condition</x:v>
      </x:c>
      <x:c r="E273" s="8" t="str">
        <x:v>Negative or recovery</x:v>
      </x:c>
      <x:c r="F273" s="8" t="str">
        <x:v>Must</x:v>
      </x:c>
      <x:c r="G273" s="8" t="str">
        <x:v>R1</x:v>
      </x:c>
      <x:c r="H273" s="8" t="str">
        <x:v>FX-SEC-08-NEG</x:v>
      </x:c>
      <x:c r="I273" s="8" t="str">
        <x:v>Isolated synthetic tenant; begin from the corresponding acceptance scenario; inject only the named adverse condition.</x:v>
      </x:c>
      <x:c r="J273" s="8" t="str">
        <x:v>1. Establish the normal precondition. 2. Make audit storage unavailable for a sensitive action; deny or retain a durable queued record per approved policy. 3. Inspect user state, side effects, audit and any recovery queue.</x:v>
      </x:c>
      <x:c r="K273" s="8" t="str">
        <x:v>Make audit storage unavailable for a sensitive action; deny or retain a durable queued record per approved policy. Evidence must show the actual final state and any accountable unresolved work.</x:v>
      </x:c>
      <x:c r="L273" s="10" t="str">
        <x:v>Not run</x:v>
      </x:c>
      <x:c r="M273" s="10" t="str">
        <x:v>QA with Privacy and security owners</x:v>
      </x:c>
      <x:c r="N273" s="10" t="str"/>
      <x:c r="O273" s="10" t="str"/>
      <x:c r="P273" s="8" t="n">
        <x:f>IF(LEN(N273)&gt;0,1,0)</x:f>
        <x:v>0</x:v>
      </x:c>
    </x:row>
    <x:row r="274" ht="47.25" customHeight="1">
      <x:c r="A274" s="7" t="str">
        <x:v>TC-BR-SEC-09-A</x:v>
      </x:c>
      <x:c r="B274" s="7" t="str">
        <x:v>BR-SEC-09</x:v>
      </x:c>
      <x:c r="C274" s="7" t="str">
        <x:v>FR-SEC-09</x:v>
      </x:c>
      <x:c r="D274" s="7" t="str">
        <x:v>Controlled retention and disposal acceptance</x:v>
      </x:c>
      <x:c r="E274" s="7" t="str">
        <x:v>Functional</x:v>
      </x:c>
      <x:c r="F274" s="7" t="str">
        <x:v>Must</x:v>
      </x:c>
      <x:c r="G274" s="7" t="str">
        <x:v>R1</x:v>
      </x:c>
      <x:c r="H274" s="7" t="str">
        <x:v>FX-SEC-09</x:v>
      </x:c>
      <x:c r="I274" s="7" t="str">
        <x:v>Synthetic tenant A; verified actor with intended scope; relevant pack and connector test profile active; reset fixture before execution.</x:v>
      </x:c>
      <x:c r="J274" s="7" t="str">
        <x:v>1. Load FX-SEC-09. 2. Retention jobs require record class, schedule, legal-hold checks and evidence of actual disposal at each storage tier. 3. Capture UI/API results and stored receipt or audit evidence.</x:v>
      </x:c>
      <x:c r="K274" s="7" t="str">
        <x:v>Test data expires according to its configured schedule, while held records remain protected and identifiable; backup restoration does not silently revive deleted operational data.</x:v>
      </x:c>
      <x:c r="L274" s="10" t="str">
        <x:v>Not run</x:v>
      </x:c>
      <x:c r="M274" s="10" t="str">
        <x:v>QA with Privacy and security owners</x:v>
      </x:c>
      <x:c r="N274" s="10" t="str"/>
      <x:c r="O274" s="10" t="str"/>
      <x:c r="P274" s="7" t="n">
        <x:f>IF(LEN(N274)&gt;0,1,0)</x:f>
        <x:v>0</x:v>
      </x:c>
    </x:row>
    <x:row r="275" ht="47.25" customHeight="1">
      <x:c r="A275" s="8" t="str">
        <x:v>TC-BR-SEC-09-B</x:v>
      </x:c>
      <x:c r="B275" s="8" t="str">
        <x:v>BR-SEC-09</x:v>
      </x:c>
      <x:c r="C275" s="8" t="str">
        <x:v>FR-SEC-09</x:v>
      </x:c>
      <x:c r="D275" s="8" t="str">
        <x:v>Controlled retention and disposal adverse condition</x:v>
      </x:c>
      <x:c r="E275" s="8" t="str">
        <x:v>Negative or recovery</x:v>
      </x:c>
      <x:c r="F275" s="8" t="str">
        <x:v>Must</x:v>
      </x:c>
      <x:c r="G275" s="8" t="str">
        <x:v>R1</x:v>
      </x:c>
      <x:c r="H275" s="8" t="str">
        <x:v>FX-SEC-09-NEG</x:v>
      </x:c>
      <x:c r="I275" s="8" t="str">
        <x:v>Isolated synthetic tenant; begin from the corresponding acceptance scenario; inject only the named adverse condition.</x:v>
      </x:c>
      <x:c r="J275" s="8" t="str">
        <x:v>1. Establish the normal precondition. 2. Restore a backup containing expired records; reapply tombstones before records become available. 3. Inspect user state, side effects, audit and any recovery queue.</x:v>
      </x:c>
      <x:c r="K275" s="8" t="str">
        <x:v>Restore a backup containing expired records; reapply tombstones before records become available. Evidence must show the actual final state and any accountable unresolved work.</x:v>
      </x:c>
      <x:c r="L275" s="10" t="str">
        <x:v>Not run</x:v>
      </x:c>
      <x:c r="M275" s="10" t="str">
        <x:v>QA with Privacy and security owners</x:v>
      </x:c>
      <x:c r="N275" s="10" t="str"/>
      <x:c r="O275" s="10" t="str"/>
      <x:c r="P275" s="8" t="n">
        <x:f>IF(LEN(N275)&gt;0,1,0)</x:f>
        <x:v>0</x:v>
      </x:c>
    </x:row>
    <x:row r="276" ht="47.25" customHeight="1">
      <x:c r="A276" s="7" t="str">
        <x:v>TC-BR-SEC-10-A</x:v>
      </x:c>
      <x:c r="B276" s="7" t="str">
        <x:v>BR-SEC-10</x:v>
      </x:c>
      <x:c r="C276" s="7" t="str">
        <x:v>FR-SEC-10</x:v>
      </x:c>
      <x:c r="D276" s="7" t="str">
        <x:v>Rights and correction workflow acceptance</x:v>
      </x:c>
      <x:c r="E276" s="7" t="str">
        <x:v>Functional</x:v>
      </x:c>
      <x:c r="F276" s="7" t="str">
        <x:v>Must</x:v>
      </x:c>
      <x:c r="G276" s="7" t="str">
        <x:v>R1</x:v>
      </x:c>
      <x:c r="H276" s="7" t="str">
        <x:v>FX-SEC-10</x:v>
      </x:c>
      <x:c r="I276" s="7" t="str">
        <x:v>Synthetic tenant A; verified actor with intended scope; relevant pack and connector test profile active; reset fixture before execution.</x:v>
      </x:c>
      <x:c r="J276" s="7" t="str">
        <x:v>1. Load FX-SEC-10. 2. Rights cases verify requester identity, track affected custodians and deadlines, and record evidence-backed resolution. 3. Capture UI/API results and stored receipt or audit evidence.</x:v>
      </x:c>
      <x:c r="K276" s="7" t="str">
        <x:v>A test request reaches the responsible organisation, has a due date under its approved policy and closes only with an evidence-backed outcome.</x:v>
      </x:c>
      <x:c r="L276" s="10" t="str">
        <x:v>Not run</x:v>
      </x:c>
      <x:c r="M276" s="10" t="str">
        <x:v>QA with Privacy and security owners</x:v>
      </x:c>
      <x:c r="N276" s="10" t="str"/>
      <x:c r="O276" s="10" t="str"/>
      <x:c r="P276" s="7" t="n">
        <x:f>IF(LEN(N276)&gt;0,1,0)</x:f>
        <x:v>0</x:v>
      </x:c>
    </x:row>
    <x:row r="277" ht="47.25" customHeight="1">
      <x:c r="A277" s="8" t="str">
        <x:v>TC-BR-SEC-10-B</x:v>
      </x:c>
      <x:c r="B277" s="8" t="str">
        <x:v>BR-SEC-10</x:v>
      </x:c>
      <x:c r="C277" s="8" t="str">
        <x:v>FR-SEC-10</x:v>
      </x:c>
      <x:c r="D277" s="8" t="str">
        <x:v>Rights and correction workflow adverse condition</x:v>
      </x:c>
      <x:c r="E277" s="8" t="str">
        <x:v>Negative or recovery</x:v>
      </x:c>
      <x:c r="F277" s="8" t="str">
        <x:v>Must</x:v>
      </x:c>
      <x:c r="G277" s="8" t="str">
        <x:v>R1</x:v>
      </x:c>
      <x:c r="H277" s="8" t="str">
        <x:v>FX-SEC-10-NEG</x:v>
      </x:c>
      <x:c r="I277" s="8" t="str">
        <x:v>Isolated synthetic tenant; begin from the corresponding acceptance scenario; inject only the named adverse condition.</x:v>
      </x:c>
      <x:c r="J277" s="8" t="str">
        <x:v>1. Establish the normal precondition. 2. Submit a deletion request for another adult without authority; no record deletion is permitted. 3. Inspect user state, side effects, audit and any recovery queue.</x:v>
      </x:c>
      <x:c r="K277" s="8" t="str">
        <x:v>Submit a deletion request for another adult without authority; no record deletion is permitted. Evidence must show the actual final state and any accountable unresolved work.</x:v>
      </x:c>
      <x:c r="L277" s="10" t="str">
        <x:v>Not run</x:v>
      </x:c>
      <x:c r="M277" s="10" t="str">
        <x:v>QA with Privacy and security owners</x:v>
      </x:c>
      <x:c r="N277" s="10" t="str"/>
      <x:c r="O277" s="10" t="str"/>
      <x:c r="P277" s="8" t="n">
        <x:f>IF(LEN(N277)&gt;0,1,0)</x:f>
        <x:v>0</x:v>
      </x:c>
    </x:row>
    <x:row r="278" ht="47.25" customHeight="1">
      <x:c r="A278" s="7" t="str">
        <x:v>TC-BR-SEC-11-A</x:v>
      </x:c>
      <x:c r="B278" s="7" t="str">
        <x:v>BR-SEC-11</x:v>
      </x:c>
      <x:c r="C278" s="7" t="str">
        <x:v>FR-SEC-11</x:v>
      </x:c>
      <x:c r="D278" s="7" t="str">
        <x:v>Emergency and support access acceptance</x:v>
      </x:c>
      <x:c r="E278" s="7" t="str">
        <x:v>Functional</x:v>
      </x:c>
      <x:c r="F278" s="7" t="str">
        <x:v>Must</x:v>
      </x:c>
      <x:c r="G278" s="7" t="str">
        <x:v>R1</x:v>
      </x:c>
      <x:c r="H278" s="7" t="str">
        <x:v>FX-SEC-11</x:v>
      </x:c>
      <x:c r="I278" s="7" t="str">
        <x:v>Synthetic tenant A; verified actor with intended scope; relevant pack and connector test profile active; reset fixture before execution.</x:v>
      </x:c>
      <x:c r="J278" s="7" t="str">
        <x:v>1. Load FX-SEC-11. 2. Exceptional access requires an approved role, purpose, scope, expiry and independent retrospective review. 3. Capture UI/API results and stored receipt or audit evidence.</x:v>
      </x:c>
      <x:c r="K278" s="7" t="str">
        <x:v>A break-glass event is visible to the designated reviewer and automatically expires; an ordinary worker cannot invoke it unless specifically authorised.</x:v>
      </x:c>
      <x:c r="L278" s="10" t="str">
        <x:v>Not run</x:v>
      </x:c>
      <x:c r="M278" s="10" t="str">
        <x:v>QA with Privacy and security owners</x:v>
      </x:c>
      <x:c r="N278" s="10" t="str"/>
      <x:c r="O278" s="10" t="str"/>
      <x:c r="P278" s="7" t="n">
        <x:f>IF(LEN(N278)&gt;0,1,0)</x:f>
        <x:v>0</x:v>
      </x:c>
    </x:row>
    <x:row r="279" ht="47.25" customHeight="1">
      <x:c r="A279" s="8" t="str">
        <x:v>TC-BR-SEC-11-B</x:v>
      </x:c>
      <x:c r="B279" s="8" t="str">
        <x:v>BR-SEC-11</x:v>
      </x:c>
      <x:c r="C279" s="8" t="str">
        <x:v>FR-SEC-11</x:v>
      </x:c>
      <x:c r="D279" s="8" t="str">
        <x:v>Emergency and support access adverse condition</x:v>
      </x:c>
      <x:c r="E279" s="8" t="str">
        <x:v>Negative or recovery</x:v>
      </x:c>
      <x:c r="F279" s="8" t="str">
        <x:v>Must</x:v>
      </x:c>
      <x:c r="G279" s="8" t="str">
        <x:v>R1</x:v>
      </x:c>
      <x:c r="H279" s="8" t="str">
        <x:v>FX-SEC-11-NEG</x:v>
      </x:c>
      <x:c r="I279" s="8" t="str">
        <x:v>Isolated synthetic tenant; begin from the corresponding acceptance scenario; inject only the named adverse condition.</x:v>
      </x:c>
      <x:c r="J279" s="8" t="str">
        <x:v>1. Establish the normal precondition. 2. Attempt break-glass as an ordinary worker; deny without granting persistent privilege. 3. Inspect user state, side effects, audit and any recovery queue.</x:v>
      </x:c>
      <x:c r="K279" s="8" t="str">
        <x:v>Attempt break-glass as an ordinary worker; deny without granting persistent privilege. Evidence must show the actual final state and any accountable unresolved work.</x:v>
      </x:c>
      <x:c r="L279" s="10" t="str">
        <x:v>Not run</x:v>
      </x:c>
      <x:c r="M279" s="10" t="str">
        <x:v>QA with Privacy and security owners</x:v>
      </x:c>
      <x:c r="N279" s="10" t="str"/>
      <x:c r="O279" s="10" t="str"/>
      <x:c r="P279" s="8" t="n">
        <x:f>IF(LEN(N279)&gt;0,1,0)</x:f>
        <x:v>0</x:v>
      </x:c>
    </x:row>
    <x:row r="280" ht="47.25" customHeight="1">
      <x:c r="A280" s="7" t="str">
        <x:v>TC-BR-SEC-12-A</x:v>
      </x:c>
      <x:c r="B280" s="7" t="str">
        <x:v>BR-SEC-12</x:v>
      </x:c>
      <x:c r="C280" s="7" t="str">
        <x:v>FR-SEC-12</x:v>
      </x:c>
      <x:c r="D280" s="7" t="str">
        <x:v>Provider and supply-chain assurance acceptance</x:v>
      </x:c>
      <x:c r="E280" s="7" t="str">
        <x:v>Functional</x:v>
      </x:c>
      <x:c r="F280" s="7" t="str">
        <x:v>Must</x:v>
      </x:c>
      <x:c r="G280" s="7" t="str">
        <x:v>R1</x:v>
      </x:c>
      <x:c r="H280" s="7" t="str">
        <x:v>FX-SEC-12</x:v>
      </x:c>
      <x:c r="I280" s="7" t="str">
        <x:v>Synthetic tenant A; verified actor with intended scope; relevant pack and connector test profile active; reset fixture before execution.</x:v>
      </x:c>
      <x:c r="J280" s="7" t="str">
        <x:v>1. Load FX-SEC-12. 2. Provider onboarding records dependencies, subprocessors, update obligations and vulnerability response ownership. 3. Capture UI/API results and stored receipt or audit evidence.</x:v>
      </x:c>
      <x:c r="K280" s="7" t="str">
        <x:v>An unresolved critical vulnerability affecting the deployment blocks release or disables the affected component until the approved remedy is implemented.</x:v>
      </x:c>
      <x:c r="L280" s="10" t="str">
        <x:v>Not run</x:v>
      </x:c>
      <x:c r="M280" s="10" t="str">
        <x:v>QA with Privacy and security owners</x:v>
      </x:c>
      <x:c r="N280" s="10" t="str"/>
      <x:c r="O280" s="10" t="str"/>
      <x:c r="P280" s="7" t="n">
        <x:f>IF(LEN(N280)&gt;0,1,0)</x:f>
        <x:v>0</x:v>
      </x:c>
    </x:row>
    <x:row r="281" ht="47.25" customHeight="1">
      <x:c r="A281" s="8" t="str">
        <x:v>TC-BR-SEC-12-B</x:v>
      </x:c>
      <x:c r="B281" s="8" t="str">
        <x:v>BR-SEC-12</x:v>
      </x:c>
      <x:c r="C281" s="8" t="str">
        <x:v>FR-SEC-12</x:v>
      </x:c>
      <x:c r="D281" s="8" t="str">
        <x:v>Provider and supply-chain assurance adverse condition</x:v>
      </x:c>
      <x:c r="E281" s="8" t="str">
        <x:v>Negative or recovery</x:v>
      </x:c>
      <x:c r="F281" s="8" t="str">
        <x:v>Must</x:v>
      </x:c>
      <x:c r="G281" s="8" t="str">
        <x:v>R1</x:v>
      </x:c>
      <x:c r="H281" s="8" t="str">
        <x:v>FX-SEC-12-NEG</x:v>
      </x:c>
      <x:c r="I281" s="8" t="str">
        <x:v>Isolated synthetic tenant; begin from the corresponding acceptance scenario; inject only the named adverse condition.</x:v>
      </x:c>
      <x:c r="J281" s="8" t="str">
        <x:v>1. Establish the normal precondition. 2. A critical exploitable dependency finding remains unresolved; block affected live release. 3. Inspect user state, side effects, audit and any recovery queue.</x:v>
      </x:c>
      <x:c r="K281" s="8" t="str">
        <x:v>A critical exploitable dependency finding remains unresolved; block affected live release. Evidence must show the actual final state and any accountable unresolved work.</x:v>
      </x:c>
      <x:c r="L281" s="10" t="str">
        <x:v>Not run</x:v>
      </x:c>
      <x:c r="M281" s="10" t="str">
        <x:v>QA with Privacy and security owners</x:v>
      </x:c>
      <x:c r="N281" s="10" t="str"/>
      <x:c r="O281" s="10" t="str"/>
      <x:c r="P281" s="8" t="n">
        <x:f>IF(LEN(N281)&gt;0,1,0)</x:f>
        <x:v>0</x:v>
      </x:c>
    </x:row>
    <x:row r="282" ht="47.25" customHeight="1">
      <x:c r="A282" s="7" t="str">
        <x:v>TC-BR-SEC-13-A</x:v>
      </x:c>
      <x:c r="B282" s="7" t="str">
        <x:v>BR-SEC-13</x:v>
      </x:c>
      <x:c r="C282" s="7" t="str">
        <x:v>FR-SEC-13</x:v>
      </x:c>
      <x:c r="D282" s="7" t="str">
        <x:v>Incident response acceptance</x:v>
      </x:c>
      <x:c r="E282" s="7" t="str">
        <x:v>Functional</x:v>
      </x:c>
      <x:c r="F282" s="7" t="str">
        <x:v>Must</x:v>
      </x:c>
      <x:c r="G282" s="7" t="str">
        <x:v>R1</x:v>
      </x:c>
      <x:c r="H282" s="7" t="str">
        <x:v>FX-SEC-13</x:v>
      </x:c>
      <x:c r="I282" s="7" t="str">
        <x:v>Synthetic tenant A; verified actor with intended scope; relevant pack and connector test profile active; reset fixture before execution.</x:v>
      </x:c>
      <x:c r="J282" s="7" t="str">
        <x:v>1. Load FX-SEC-13. 2. Incident records retain timeline, containment, affected scope and jurisdiction-specific notification decisions. 3. Capture UI/API results and stored receipt or audit evidence.</x:v>
      </x:c>
      <x:c r="K282" s="7" t="str">
        <x:v>A tabletop exercise demonstrates who acts, what access is revoked, how affected records are found and how notification decisions are documented.</x:v>
      </x:c>
      <x:c r="L282" s="10" t="str">
        <x:v>Not run</x:v>
      </x:c>
      <x:c r="M282" s="10" t="str">
        <x:v>QA with Privacy and security owners</x:v>
      </x:c>
      <x:c r="N282" s="10" t="str"/>
      <x:c r="O282" s="10" t="str"/>
      <x:c r="P282" s="7" t="n">
        <x:f>IF(LEN(N282)&gt;0,1,0)</x:f>
        <x:v>0</x:v>
      </x:c>
    </x:row>
    <x:row r="283" ht="47.25" customHeight="1">
      <x:c r="A283" s="8" t="str">
        <x:v>TC-BR-SEC-13-B</x:v>
      </x:c>
      <x:c r="B283" s="8" t="str">
        <x:v>BR-SEC-13</x:v>
      </x:c>
      <x:c r="C283" s="8" t="str">
        <x:v>FR-SEC-13</x:v>
      </x:c>
      <x:c r="D283" s="8" t="str">
        <x:v>Incident response adverse condition</x:v>
      </x:c>
      <x:c r="E283" s="8" t="str">
        <x:v>Negative or recovery</x:v>
      </x:c>
      <x:c r="F283" s="8" t="str">
        <x:v>Must</x:v>
      </x:c>
      <x:c r="G283" s="8" t="str">
        <x:v>R1</x:v>
      </x:c>
      <x:c r="H283" s="8" t="str">
        <x:v>FX-SEC-13-NEG</x:v>
      </x:c>
      <x:c r="I283" s="8" t="str">
        <x:v>Isolated synthetic tenant; begin from the corresponding acceptance scenario; inject only the named adverse condition.</x:v>
      </x:c>
      <x:c r="J283" s="8" t="str">
        <x:v>1. Establish the normal precondition. 2. Run an incident exercise with partial evidence; closure cannot claim notification or recovery without evidence. 3. Inspect user state, side effects, audit and any recovery queue.</x:v>
      </x:c>
      <x:c r="K283" s="8" t="str">
        <x:v>Run an incident exercise with partial evidence; closure cannot claim notification or recovery without evidence. Evidence must show the actual final state and any accountable unresolved work.</x:v>
      </x:c>
      <x:c r="L283" s="10" t="str">
        <x:v>Not run</x:v>
      </x:c>
      <x:c r="M283" s="10" t="str">
        <x:v>QA with Privacy and security owners</x:v>
      </x:c>
      <x:c r="N283" s="10" t="str"/>
      <x:c r="O283" s="10" t="str"/>
      <x:c r="P283" s="8" t="n">
        <x:f>IF(LEN(N283)&gt;0,1,0)</x:f>
        <x:v>0</x:v>
      </x:c>
    </x:row>
    <x:row r="284" ht="47.25" customHeight="1">
      <x:c r="A284" s="7" t="str">
        <x:v>TC-BR-SEC-14-A</x:v>
      </x:c>
      <x:c r="B284" s="7" t="str">
        <x:v>BR-SEC-14</x:v>
      </x:c>
      <x:c r="C284" s="7" t="str">
        <x:v>FR-SEC-14</x:v>
      </x:c>
      <x:c r="D284" s="7" t="str">
        <x:v>Hosting and cross-border controls acceptance</x:v>
      </x:c>
      <x:c r="E284" s="7" t="str">
        <x:v>Functional</x:v>
      </x:c>
      <x:c r="F284" s="7" t="str">
        <x:v>Must</x:v>
      </x:c>
      <x:c r="G284" s="7" t="str">
        <x:v>R1</x:v>
      </x:c>
      <x:c r="H284" s="7" t="str">
        <x:v>FX-SEC-14</x:v>
      </x:c>
      <x:c r="I284" s="7" t="str">
        <x:v>Synthetic tenant A; verified actor with intended scope; relevant pack and connector test profile active; reset fixture before execution.</x:v>
      </x:c>
      <x:c r="J284" s="7" t="str">
        <x:v>1. Load FX-SEC-14. 2. Routing policy constrains provider, storage, backup and support regions before any transfer. 3. Capture UI/API results and stored receipt or audit evidence.</x:v>
      </x:c>
      <x:c r="K284" s="7" t="str">
        <x:v>A model endpoint or support route outside the deployment's permitted locations is rejected before personal data is transferred.</x:v>
      </x:c>
      <x:c r="L284" s="10" t="str">
        <x:v>Not run</x:v>
      </x:c>
      <x:c r="M284" s="10" t="str">
        <x:v>QA with Privacy and security owners</x:v>
      </x:c>
      <x:c r="N284" s="10" t="str"/>
      <x:c r="O284" s="10" t="str"/>
      <x:c r="P284" s="7" t="n">
        <x:f>IF(LEN(N284)&gt;0,1,0)</x:f>
        <x:v>0</x:v>
      </x:c>
    </x:row>
    <x:row r="285" ht="47.25" customHeight="1">
      <x:c r="A285" s="8" t="str">
        <x:v>TC-BR-SEC-14-B</x:v>
      </x:c>
      <x:c r="B285" s="8" t="str">
        <x:v>BR-SEC-14</x:v>
      </x:c>
      <x:c r="C285" s="8" t="str">
        <x:v>FR-SEC-14</x:v>
      </x:c>
      <x:c r="D285" s="8" t="str">
        <x:v>Hosting and cross-border controls adverse condition</x:v>
      </x:c>
      <x:c r="E285" s="8" t="str">
        <x:v>Negative or recovery</x:v>
      </x:c>
      <x:c r="F285" s="8" t="str">
        <x:v>Must</x:v>
      </x:c>
      <x:c r="G285" s="8" t="str">
        <x:v>R1</x:v>
      </x:c>
      <x:c r="H285" s="8" t="str">
        <x:v>FX-SEC-14-NEG</x:v>
      </x:c>
      <x:c r="I285" s="8" t="str">
        <x:v>Isolated synthetic tenant; begin from the corresponding acceptance scenario; inject only the named adverse condition.</x:v>
      </x:c>
      <x:c r="J285" s="8" t="str">
        <x:v>1. Establish the normal precondition. 2. Point an otherwise approved adapter to an unapproved region; reject the transfer. 3. Inspect user state, side effects, audit and any recovery queue.</x:v>
      </x:c>
      <x:c r="K285" s="8" t="str">
        <x:v>Point an otherwise approved adapter to an unapproved region; reject the transfer. Evidence must show the actual final state and any accountable unresolved work.</x:v>
      </x:c>
      <x:c r="L285" s="10" t="str">
        <x:v>Not run</x:v>
      </x:c>
      <x:c r="M285" s="10" t="str">
        <x:v>QA with Privacy and security owners</x:v>
      </x:c>
      <x:c r="N285" s="10" t="str"/>
      <x:c r="O285" s="10" t="str"/>
      <x:c r="P285" s="8" t="n">
        <x:f>IF(LEN(N285)&gt;0,1,0)</x:f>
        <x:v>0</x:v>
      </x:c>
    </x:row>
    <x:row r="286" ht="47.25" customHeight="1">
      <x:c r="A286" s="7" t="str">
        <x:v>TC-BR-RULE-01-A</x:v>
      </x:c>
      <x:c r="B286" s="7" t="str">
        <x:v>BR-RULE-01</x:v>
      </x:c>
      <x:c r="C286" s="7" t="str">
        <x:v>FR-RULE-01</x:v>
      </x:c>
      <x:c r="D286" s="7" t="str">
        <x:v>No invented facts acceptance</x:v>
      </x:c>
      <x:c r="E286" s="7" t="str">
        <x:v>Functional</x:v>
      </x:c>
      <x:c r="F286" s="7" t="str">
        <x:v>Must</x:v>
      </x:c>
      <x:c r="G286" s="7" t="str">
        <x:v>R1</x:v>
      </x:c>
      <x:c r="H286" s="7" t="str">
        <x:v>FX-RULE-01</x:v>
      </x:c>
      <x:c r="I286" s="7" t="str">
        <x:v>Synthetic tenant A; verified actor with intended scope; relevant pack and connector test profile active; reset fixture before execution.</x:v>
      </x:c>
      <x:c r="J286" s="7" t="str">
        <x:v>1. Load FX-RULE-01. 2. Observation validation requires a real captured value or explicit missingness; model-derived values carry derivation references. 3. Capture UI/API results and stored receipt or audit evidence.</x:v>
      </x:c>
      <x:c r="K286" s="7" t="str">
        <x:v>Missing, refused and uncertain inputs remain distinguishable across local records, model calls and outgoing submissions.</x:v>
      </x:c>
      <x:c r="L286" s="10" t="str">
        <x:v>Not run</x:v>
      </x:c>
      <x:c r="M286" s="10" t="str">
        <x:v>QA with All actors</x:v>
      </x:c>
      <x:c r="N286" s="10" t="str"/>
      <x:c r="O286" s="10" t="str"/>
      <x:c r="P286" s="7" t="n">
        <x:f>IF(LEN(N286)&gt;0,1,0)</x:f>
        <x:v>0</x:v>
      </x:c>
    </x:row>
    <x:row r="287" ht="47.25" customHeight="1">
      <x:c r="A287" s="8" t="str">
        <x:v>TC-BR-RULE-01-B</x:v>
      </x:c>
      <x:c r="B287" s="8" t="str">
        <x:v>BR-RULE-01</x:v>
      </x:c>
      <x:c r="C287" s="8" t="str">
        <x:v>FR-RULE-01</x:v>
      </x:c>
      <x:c r="D287" s="8" t="str">
        <x:v>No invented facts adverse condition</x:v>
      </x:c>
      <x:c r="E287" s="8" t="str">
        <x:v>Negative or recovery</x:v>
      </x:c>
      <x:c r="F287" s="8" t="str">
        <x:v>Must</x:v>
      </x:c>
      <x:c r="G287" s="8" t="str">
        <x:v>R1</x:v>
      </x:c>
      <x:c r="H287" s="8" t="str">
        <x:v>FX-RULE-01-NEG</x:v>
      </x:c>
      <x:c r="I287" s="8" t="str">
        <x:v>Isolated synthetic tenant; begin from the corresponding acceptance scenario; inject only the named adverse condition.</x:v>
      </x:c>
      <x:c r="J287" s="8" t="str">
        <x:v>1. Establish the normal precondition. 2. Complete a mandatory form by inventing a missing answer; the platform must refuse the fabricated value. 3. Inspect user state, side effects, audit and any recovery queue.</x:v>
      </x:c>
      <x:c r="K287" s="8" t="str">
        <x:v>Complete a mandatory form by inventing a missing answer; the platform must refuse the fabricated value. Evidence must show the actual final state and any accountable unresolved work.</x:v>
      </x:c>
      <x:c r="L287" s="10" t="str">
        <x:v>Not run</x:v>
      </x:c>
      <x:c r="M287" s="10" t="str">
        <x:v>QA with All actors</x:v>
      </x:c>
      <x:c r="N287" s="10" t="str"/>
      <x:c r="O287" s="10" t="str"/>
      <x:c r="P287" s="8" t="n">
        <x:f>IF(LEN(N287)&gt;0,1,0)</x:f>
        <x:v>0</x:v>
      </x:c>
    </x:row>
    <x:row r="288" ht="47.25" customHeight="1">
      <x:c r="A288" s="7" t="str">
        <x:v>TC-BR-RULE-02-A</x:v>
      </x:c>
      <x:c r="B288" s="7" t="str">
        <x:v>BR-RULE-02</x:v>
      </x:c>
      <x:c r="C288" s="7" t="str">
        <x:v>FR-RULE-02</x:v>
      </x:c>
      <x:c r="D288" s="7" t="str">
        <x:v>Patient confirmation before commitment acceptance</x:v>
      </x:c>
      <x:c r="E288" s="7" t="str">
        <x:v>Functional</x:v>
      </x:c>
      <x:c r="F288" s="7" t="str">
        <x:v>Must</x:v>
      </x:c>
      <x:c r="G288" s="7" t="str">
        <x:v>R1</x:v>
      </x:c>
      <x:c r="H288" s="7" t="str">
        <x:v>FX-RULE-02</x:v>
      </x:c>
      <x:c r="I288" s="7" t="str">
        <x:v>Synthetic tenant A; verified actor with intended scope; relevant pack and connector test profile active; reset fixture before execution.</x:v>
      </x:c>
      <x:c r="J288" s="7" t="str">
        <x:v>1. Load FX-RULE-02. 2. Consequential commands require a recently confirmed patient context tied to the encounter revision. 3. Capture UI/API results and stored receipt or audit evidence.</x:v>
      </x:c>
      <x:c r="K288" s="7" t="str">
        <x:v>A deliberately ambiguous match cannot create an authoritative programme update until the identity requirement is resolved.</x:v>
      </x:c>
      <x:c r="L288" s="10" t="str">
        <x:v>Not run</x:v>
      </x:c>
      <x:c r="M288" s="10" t="str">
        <x:v>QA with All actors</x:v>
      </x:c>
      <x:c r="N288" s="10" t="str"/>
      <x:c r="O288" s="10" t="str"/>
      <x:c r="P288" s="7" t="n">
        <x:f>IF(LEN(N288)&gt;0,1,0)</x:f>
        <x:v>0</x:v>
      </x:c>
    </x:row>
    <x:row r="289" ht="47.25" customHeight="1">
      <x:c r="A289" s="8" t="str">
        <x:v>TC-BR-RULE-02-B</x:v>
      </x:c>
      <x:c r="B289" s="8" t="str">
        <x:v>BR-RULE-02</x:v>
      </x:c>
      <x:c r="C289" s="8" t="str">
        <x:v>FR-RULE-02</x:v>
      </x:c>
      <x:c r="D289" s="8" t="str">
        <x:v>Patient confirmation before commitment adverse condition</x:v>
      </x:c>
      <x:c r="E289" s="8" t="str">
        <x:v>Negative or recovery</x:v>
      </x:c>
      <x:c r="F289" s="8" t="str">
        <x:v>Must</x:v>
      </x:c>
      <x:c r="G289" s="8" t="str">
        <x:v>R1</x:v>
      </x:c>
      <x:c r="H289" s="8" t="str">
        <x:v>FX-RULE-02-NEG</x:v>
      </x:c>
      <x:c r="I289" s="8" t="str">
        <x:v>Isolated synthetic tenant; begin from the corresponding acceptance scenario; inject only the named adverse condition.</x:v>
      </x:c>
      <x:c r="J289" s="8" t="str">
        <x:v>1. Establish the normal precondition. 2. Submit from a stale patient tab after a switch; reject the context mismatch. 3. Inspect user state, side effects, audit and any recovery queue.</x:v>
      </x:c>
      <x:c r="K289" s="8" t="str">
        <x:v>Submit from a stale patient tab after a switch; reject the context mismatch. Evidence must show the actual final state and any accountable unresolved work.</x:v>
      </x:c>
      <x:c r="L289" s="10" t="str">
        <x:v>Not run</x:v>
      </x:c>
      <x:c r="M289" s="10" t="str">
        <x:v>QA with All actors</x:v>
      </x:c>
      <x:c r="N289" s="10" t="str"/>
      <x:c r="O289" s="10" t="str"/>
      <x:c r="P289" s="8" t="n">
        <x:f>IF(LEN(N289)&gt;0,1,0)</x:f>
        <x:v>0</x:v>
      </x:c>
    </x:row>
    <x:row r="290" ht="47.25" customHeight="1">
      <x:c r="A290" s="7" t="str">
        <x:v>TC-BR-RULE-03-A</x:v>
      </x:c>
      <x:c r="B290" s="7" t="str">
        <x:v>BR-RULE-03</x:v>
      </x:c>
      <x:c r="C290" s="7" t="str">
        <x:v>FR-RULE-03</x:v>
      </x:c>
      <x:c r="D290" s="7" t="str">
        <x:v>Review depends on unchanged evidence acceptance</x:v>
      </x:c>
      <x:c r="E290" s="7" t="str">
        <x:v>Functional</x:v>
      </x:c>
      <x:c r="F290" s="7" t="str">
        <x:v>Must</x:v>
      </x:c>
      <x:c r="G290" s="7" t="str">
        <x:v>R1</x:v>
      </x:c>
      <x:c r="H290" s="7" t="str">
        <x:v>FX-RULE-03</x:v>
      </x:c>
      <x:c r="I290" s="7" t="str">
        <x:v>Synthetic tenant A; verified actor with intended scope; relevant pack and connector test profile active; reset fixture before execution.</x:v>
      </x:c>
      <x:c r="J290" s="7" t="str">
        <x:v>1. Load FX-RULE-03. 2. Approval includes hashes of facts, action, recipient, purpose, rules and model versions. 3. Capture UI/API results and stored receipt or audit evidence.</x:v>
      </x:c>
      <x:c r="K290" s="7" t="str">
        <x:v>Editing a measurement after referral approval prevents silent use of the previous approval for a changed recommendation.</x:v>
      </x:c>
      <x:c r="L290" s="10" t="str">
        <x:v>Not run</x:v>
      </x:c>
      <x:c r="M290" s="10" t="str">
        <x:v>QA with All actors</x:v>
      </x:c>
      <x:c r="N290" s="10" t="str"/>
      <x:c r="O290" s="10" t="str"/>
      <x:c r="P290" s="7" t="n">
        <x:f>IF(LEN(N290)&gt;0,1,0)</x:f>
        <x:v>0</x:v>
      </x:c>
    </x:row>
    <x:row r="291" ht="47.25" customHeight="1">
      <x:c r="A291" s="8" t="str">
        <x:v>TC-BR-RULE-03-B</x:v>
      </x:c>
      <x:c r="B291" s="8" t="str">
        <x:v>BR-RULE-03</x:v>
      </x:c>
      <x:c r="C291" s="8" t="str">
        <x:v>FR-RULE-03</x:v>
      </x:c>
      <x:c r="D291" s="8" t="str">
        <x:v>Review depends on unchanged evidence adverse condition</x:v>
      </x:c>
      <x:c r="E291" s="8" t="str">
        <x:v>Negative or recovery</x:v>
      </x:c>
      <x:c r="F291" s="8" t="str">
        <x:v>Must</x:v>
      </x:c>
      <x:c r="G291" s="8" t="str">
        <x:v>R1</x:v>
      </x:c>
      <x:c r="H291" s="8" t="str">
        <x:v>FX-RULE-03-NEG</x:v>
      </x:c>
      <x:c r="I291" s="8" t="str">
        <x:v>Isolated synthetic tenant; begin from the corresponding acceptance scenario; inject only the named adverse condition.</x:v>
      </x:c>
      <x:c r="J291" s="8" t="str">
        <x:v>1. Establish the normal precondition. 2. Reuse approval after changing one bound input; reject and return to review. 3. Inspect user state, side effects, audit and any recovery queue.</x:v>
      </x:c>
      <x:c r="K291" s="8" t="str">
        <x:v>Reuse approval after changing one bound input; reject and return to review. Evidence must show the actual final state and any accountable unresolved work.</x:v>
      </x:c>
      <x:c r="L291" s="10" t="str">
        <x:v>Not run</x:v>
      </x:c>
      <x:c r="M291" s="10" t="str">
        <x:v>QA with All actors</x:v>
      </x:c>
      <x:c r="N291" s="10" t="str"/>
      <x:c r="O291" s="10" t="str"/>
      <x:c r="P291" s="8" t="n">
        <x:f>IF(LEN(N291)&gt;0,1,0)</x:f>
        <x:v>0</x:v>
      </x:c>
    </x:row>
    <x:row r="292" ht="47.25" customHeight="1">
      <x:c r="A292" s="7" t="str">
        <x:v>TC-BR-RULE-04-A</x:v>
      </x:c>
      <x:c r="B292" s="7" t="str">
        <x:v>BR-RULE-04</x:v>
      </x:c>
      <x:c r="C292" s="7" t="str">
        <x:v>FR-RULE-04</x:v>
      </x:c>
      <x:c r="D292" s="7" t="str">
        <x:v>Honest completion and cancellation acceptance</x:v>
      </x:c>
      <x:c r="E292" s="7" t="str">
        <x:v>Functional</x:v>
      </x:c>
      <x:c r="F292" s="7" t="str">
        <x:v>Must</x:v>
      </x:c>
      <x:c r="G292" s="7" t="str">
        <x:v>R1</x:v>
      </x:c>
      <x:c r="H292" s="7" t="str">
        <x:v>FX-RULE-04</x:v>
      </x:c>
      <x:c r="I292" s="7" t="str">
        <x:v>Synthetic tenant A; verified actor with intended scope; relevant pack and connector test profile active; reset fixture before execution.</x:v>
      </x:c>
      <x:c r="J292" s="7" t="str">
        <x:v>1. Load FX-RULE-04. 2. Local task cancellation records remaining external obligations; it never rewrites destination receipts. 3. Capture UI/API results and stored receipt or audit evidence.</x:v>
      </x:c>
      <x:c r="K292" s="7" t="str">
        <x:v>Cancellation after submission reports the actual destination state and generates any remaining reversal task.</x:v>
      </x:c>
      <x:c r="L292" s="10" t="str">
        <x:v>Not run</x:v>
      </x:c>
      <x:c r="M292" s="10" t="str">
        <x:v>QA with All actors</x:v>
      </x:c>
      <x:c r="N292" s="10" t="str"/>
      <x:c r="O292" s="10" t="str"/>
      <x:c r="P292" s="7" t="n">
        <x:f>IF(LEN(N292)&gt;0,1,0)</x:f>
        <x:v>0</x:v>
      </x:c>
    </x:row>
    <x:row r="293" ht="47.25" customHeight="1">
      <x:c r="A293" s="8" t="str">
        <x:v>TC-BR-RULE-04-B</x:v>
      </x:c>
      <x:c r="B293" s="8" t="str">
        <x:v>BR-RULE-04</x:v>
      </x:c>
      <x:c r="C293" s="8" t="str">
        <x:v>FR-RULE-04</x:v>
      </x:c>
      <x:c r="D293" s="8" t="str">
        <x:v>Honest completion and cancellation adverse condition</x:v>
      </x:c>
      <x:c r="E293" s="8" t="str">
        <x:v>Negative or recovery</x:v>
      </x:c>
      <x:c r="F293" s="8" t="str">
        <x:v>Must</x:v>
      </x:c>
      <x:c r="G293" s="8" t="str">
        <x:v>R1</x:v>
      </x:c>
      <x:c r="H293" s="8" t="str">
        <x:v>FX-RULE-04-NEG</x:v>
      </x:c>
      <x:c r="I293" s="8" t="str">
        <x:v>Isolated synthetic tenant; begin from the corresponding acceptance scenario; inject only the named adverse condition.</x:v>
      </x:c>
      <x:c r="J293" s="8" t="str">
        <x:v>1. Establish the normal precondition. 2. Cancel after external acceptance; the accepted receipt remains and a correction task is created. 3. Inspect user state, side effects, audit and any recovery queue.</x:v>
      </x:c>
      <x:c r="K293" s="8" t="str">
        <x:v>Cancel after external acceptance; the accepted receipt remains and a correction task is created. Evidence must show the actual final state and any accountable unresolved work.</x:v>
      </x:c>
      <x:c r="L293" s="10" t="str">
        <x:v>Not run</x:v>
      </x:c>
      <x:c r="M293" s="10" t="str">
        <x:v>QA with All actors</x:v>
      </x:c>
      <x:c r="N293" s="10" t="str"/>
      <x:c r="O293" s="10" t="str"/>
      <x:c r="P293" s="8" t="n">
        <x:f>IF(LEN(N293)&gt;0,1,0)</x:f>
        <x:v>0</x:v>
      </x:c>
    </x:row>
    <x:row r="294" ht="47.25" customHeight="1">
      <x:c r="A294" s="7" t="str">
        <x:v>TC-BR-RULE-05-A</x:v>
      </x:c>
      <x:c r="B294" s="7" t="str">
        <x:v>BR-RULE-05</x:v>
      </x:c>
      <x:c r="C294" s="7" t="str">
        <x:v>FR-RULE-05</x:v>
      </x:c>
      <x:c r="D294" s="7" t="str">
        <x:v>No false model equivalence acceptance</x:v>
      </x:c>
      <x:c r="E294" s="7" t="str">
        <x:v>Functional</x:v>
      </x:c>
      <x:c r="F294" s="7" t="str">
        <x:v>Must</x:v>
      </x:c>
      <x:c r="G294" s="7" t="str">
        <x:v>R1</x:v>
      </x:c>
      <x:c r="H294" s="7" t="str">
        <x:v>FX-RULE-05</x:v>
      </x:c>
      <x:c r="I294" s="7" t="str">
        <x:v>Synthetic tenant A; verified actor with intended scope; relevant pack and connector test profile active; reset fixture before execution.</x:v>
      </x:c>
      <x:c r="J294" s="7" t="str">
        <x:v>1. Load FX-RULE-05. 2. Result displays preserve provider-specific scales and calibration notes; unsupported score comparisons are disallowed. 3. Capture UI/API results and stored receipt or audit evidence.</x:v>
      </x:c>
      <x:c r="K294" s="7" t="str">
        <x:v>A multi-model result screen avoids a fabricated common score and presents the required review path for disagreement.</x:v>
      </x:c>
      <x:c r="L294" s="10" t="str">
        <x:v>Not run</x:v>
      </x:c>
      <x:c r="M294" s="10" t="str">
        <x:v>QA with All actors</x:v>
      </x:c>
      <x:c r="N294" s="10" t="str"/>
      <x:c r="O294" s="10" t="str"/>
      <x:c r="P294" s="7" t="n">
        <x:f>IF(LEN(N294)&gt;0,1,0)</x:f>
        <x:v>0</x:v>
      </x:c>
    </x:row>
    <x:row r="295" ht="47.25" customHeight="1">
      <x:c r="A295" s="8" t="str">
        <x:v>TC-BR-RULE-05-B</x:v>
      </x:c>
      <x:c r="B295" s="8" t="str">
        <x:v>BR-RULE-05</x:v>
      </x:c>
      <x:c r="C295" s="8" t="str">
        <x:v>FR-RULE-05</x:v>
      </x:c>
      <x:c r="D295" s="8" t="str">
        <x:v>No false model equivalence adverse condition</x:v>
      </x:c>
      <x:c r="E295" s="8" t="str">
        <x:v>Negative or recovery</x:v>
      </x:c>
      <x:c r="F295" s="8" t="str">
        <x:v>Must</x:v>
      </x:c>
      <x:c r="G295" s="8" t="str">
        <x:v>R1</x:v>
      </x:c>
      <x:c r="H295" s="8" t="str">
        <x:v>FX-RULE-05-NEG</x:v>
      </x:c>
      <x:c r="I295" s="8" t="str">
        <x:v>Isolated synthetic tenant; begin from the corresponding acceptance scenario; inject only the named adverse condition.</x:v>
      </x:c>
      <x:c r="J295" s="8" t="str">
        <x:v>1. Establish the normal precondition. 2. Average two unrelated risk scores in a plan; validation rejects the invented combined metric. 3. Inspect user state, side effects, audit and any recovery queue.</x:v>
      </x:c>
      <x:c r="K295" s="8" t="str">
        <x:v>Average two unrelated risk scores in a plan; validation rejects the invented combined metric. Evidence must show the actual final state and any accountable unresolved work.</x:v>
      </x:c>
      <x:c r="L295" s="10" t="str">
        <x:v>Not run</x:v>
      </x:c>
      <x:c r="M295" s="10" t="str">
        <x:v>QA with All actors</x:v>
      </x:c>
      <x:c r="N295" s="10" t="str"/>
      <x:c r="O295" s="10" t="str"/>
      <x:c r="P295" s="8" t="n">
        <x:f>IF(LEN(N295)&gt;0,1,0)</x:f>
        <x:v>0</x:v>
      </x:c>
    </x:row>
    <x:row r="296" ht="47.25" customHeight="1">
      <x:c r="A296" s="7" t="str">
        <x:v>TC-BR-RULE-06-A</x:v>
      </x:c>
      <x:c r="B296" s="7" t="str">
        <x:v>BR-RULE-06</x:v>
      </x:c>
      <x:c r="C296" s="7" t="str">
        <x:v>FR-RULE-06</x:v>
      </x:c>
      <x:c r="D296" s="7" t="str">
        <x:v>Rechecks at execution time acceptance</x:v>
      </x:c>
      <x:c r="E296" s="7" t="str">
        <x:v>Functional</x:v>
      </x:c>
      <x:c r="F296" s="7" t="str">
        <x:v>Must</x:v>
      </x:c>
      <x:c r="G296" s="7" t="str">
        <x:v>R1</x:v>
      </x:c>
      <x:c r="H296" s="7" t="str">
        <x:v>FX-RULE-06</x:v>
      </x:c>
      <x:c r="I296" s="7" t="str">
        <x:v>Synthetic tenant A; verified actor with intended scope; relevant pack and connector test profile active; reset fixture before execution.</x:v>
      </x:c>
      <x:c r="J296" s="7" t="str">
        <x:v>1. Load FX-RULE-06. 2. Execution performs current policy and authority checks even when the planning-stage checks passed. 3. Capture UI/API results and stored receipt or audit evidence.</x:v>
      </x:c>
      <x:c r="K296" s="7" t="str">
        <x:v>Revoking a worker's role between drafting and execution blocks the pending action and preserves it for authorised reassignment.</x:v>
      </x:c>
      <x:c r="L296" s="10" t="str">
        <x:v>Not run</x:v>
      </x:c>
      <x:c r="M296" s="10" t="str">
        <x:v>QA with All actors</x:v>
      </x:c>
      <x:c r="N296" s="10" t="str"/>
      <x:c r="O296" s="10" t="str"/>
      <x:c r="P296" s="7" t="n">
        <x:f>IF(LEN(N296)&gt;0,1,0)</x:f>
        <x:v>0</x:v>
      </x:c>
    </x:row>
    <x:row r="297" ht="47.25" customHeight="1">
      <x:c r="A297" s="8" t="str">
        <x:v>TC-BR-RULE-06-B</x:v>
      </x:c>
      <x:c r="B297" s="8" t="str">
        <x:v>BR-RULE-06</x:v>
      </x:c>
      <x:c r="C297" s="8" t="str">
        <x:v>FR-RULE-06</x:v>
      </x:c>
      <x:c r="D297" s="8" t="str">
        <x:v>Rechecks at execution time adverse condition</x:v>
      </x:c>
      <x:c r="E297" s="8" t="str">
        <x:v>Negative or recovery</x:v>
      </x:c>
      <x:c r="F297" s="8" t="str">
        <x:v>Must</x:v>
      </x:c>
      <x:c r="G297" s="8" t="str">
        <x:v>R1</x:v>
      </x:c>
      <x:c r="H297" s="8" t="str">
        <x:v>FX-RULE-06-NEG</x:v>
      </x:c>
      <x:c r="I297" s="8" t="str">
        <x:v>Isolated synthetic tenant; begin from the corresponding acceptance scenario; inject only the named adverse condition.</x:v>
      </x:c>
      <x:c r="J297" s="8" t="str">
        <x:v>1. Establish the normal precondition. 2. Revoke access between plan approval and worker dispatch; the side effect must not occur. 3. Inspect user state, side effects, audit and any recovery queue.</x:v>
      </x:c>
      <x:c r="K297" s="8" t="str">
        <x:v>Revoke access between plan approval and worker dispatch; the side effect must not occur. Evidence must show the actual final state and any accountable unresolved work.</x:v>
      </x:c>
      <x:c r="L297" s="10" t="str">
        <x:v>Not run</x:v>
      </x:c>
      <x:c r="M297" s="10" t="str">
        <x:v>QA with All actors</x:v>
      </x:c>
      <x:c r="N297" s="10" t="str"/>
      <x:c r="O297" s="10" t="str"/>
      <x:c r="P297" s="8" t="n">
        <x:f>IF(LEN(N297)&gt;0,1,0)</x:f>
        <x:v>0</x:v>
      </x:c>
    </x:row>
    <x:row r="298" ht="47.25" customHeight="1">
      <x:c r="A298" s="7" t="str">
        <x:v>TC-BR-RULE-07-A</x:v>
      </x:c>
      <x:c r="B298" s="7" t="str">
        <x:v>BR-RULE-07</x:v>
      </x:c>
      <x:c r="C298" s="7" t="str">
        <x:v>FR-RULE-07</x:v>
      </x:c>
      <x:c r="D298" s="7" t="str">
        <x:v>No experimental output in care acceptance</x:v>
      </x:c>
      <x:c r="E298" s="7" t="str">
        <x:v>Functional</x:v>
      </x:c>
      <x:c r="F298" s="7" t="str">
        <x:v>Must</x:v>
      </x:c>
      <x:c r="G298" s="7" t="str">
        <x:v>R1</x:v>
      </x:c>
      <x:c r="H298" s="7" t="str">
        <x:v>FX-RULE-07</x:v>
      </x:c>
      <x:c r="I298" s="7" t="str">
        <x:v>Synthetic tenant A; verified actor with intended scope; relevant pack and connector test profile active; reset fixture before execution.</x:v>
      </x:c>
      <x:c r="J298" s="7" t="str">
        <x:v>1. Load FX-RULE-07. 2. Environment and output-use labels travel with every model result; live action builders reject test or shadow results. 3. Capture UI/API results and stored receipt or audit evidence.</x:v>
      </x:c>
      <x:c r="K298" s="7" t="str">
        <x:v>An experimental high-risk result cannot trigger a live referral or patient notification outside an explicitly authorised evaluation protocol.</x:v>
      </x:c>
      <x:c r="L298" s="10" t="str">
        <x:v>Not run</x:v>
      </x:c>
      <x:c r="M298" s="10" t="str">
        <x:v>QA with All actors</x:v>
      </x:c>
      <x:c r="N298" s="10" t="str"/>
      <x:c r="O298" s="10" t="str"/>
      <x:c r="P298" s="7" t="n">
        <x:f>IF(LEN(N298)&gt;0,1,0)</x:f>
        <x:v>0</x:v>
      </x:c>
    </x:row>
    <x:row r="299" ht="47.25" customHeight="1">
      <x:c r="A299" s="8" t="str">
        <x:v>TC-BR-RULE-07-B</x:v>
      </x:c>
      <x:c r="B299" s="8" t="str">
        <x:v>BR-RULE-07</x:v>
      </x:c>
      <x:c r="C299" s="8" t="str">
        <x:v>FR-RULE-07</x:v>
      </x:c>
      <x:c r="D299" s="8" t="str">
        <x:v>No experimental output in care adverse condition</x:v>
      </x:c>
      <x:c r="E299" s="8" t="str">
        <x:v>Negative or recovery</x:v>
      </x:c>
      <x:c r="F299" s="8" t="str">
        <x:v>Must</x:v>
      </x:c>
      <x:c r="G299" s="8" t="str">
        <x:v>R1</x:v>
      </x:c>
      <x:c r="H299" s="8" t="str">
        <x:v>FX-RULE-07-NEG</x:v>
      </x:c>
      <x:c r="I299" s="8" t="str">
        <x:v>Isolated synthetic tenant; begin from the corresponding acceptance scenario; inject only the named adverse condition.</x:v>
      </x:c>
      <x:c r="J299" s="8" t="str">
        <x:v>1. Establish the normal precondition. 2. Attach a shadow result to a real care order; reject the source association. 3. Inspect user state, side effects, audit and any recovery queue.</x:v>
      </x:c>
      <x:c r="K299" s="8" t="str">
        <x:v>Attach a shadow result to a real care order; reject the source association. Evidence must show the actual final state and any accountable unresolved work.</x:v>
      </x:c>
      <x:c r="L299" s="10" t="str">
        <x:v>Not run</x:v>
      </x:c>
      <x:c r="M299" s="10" t="str">
        <x:v>QA with All actors</x:v>
      </x:c>
      <x:c r="N299" s="10" t="str"/>
      <x:c r="O299" s="10" t="str"/>
      <x:c r="P299" s="8" t="n">
        <x:f>IF(LEN(N299)&gt;0,1,0)</x:f>
        <x:v>0</x:v>
      </x:c>
    </x:row>
    <x:row r="300" ht="47.25" customHeight="1">
      <x:c r="A300" s="7" t="str">
        <x:v>TC-BR-RULE-08-A</x:v>
      </x:c>
      <x:c r="B300" s="7" t="str">
        <x:v>BR-RULE-08</x:v>
      </x:c>
      <x:c r="C300" s="7" t="str">
        <x:v>FR-RULE-08</x:v>
      </x:c>
      <x:c r="D300" s="7" t="str">
        <x:v>No silent adverse allocation acceptance</x:v>
      </x:c>
      <x:c r="E300" s="7" t="str">
        <x:v>Functional</x:v>
      </x:c>
      <x:c r="F300" s="7" t="str">
        <x:v>Must</x:v>
      </x:c>
      <x:c r="G300" s="7" t="str">
        <x:v>R1</x:v>
      </x:c>
      <x:c r="H300" s="7" t="str">
        <x:v>FX-RULE-08</x:v>
      </x:c>
      <x:c r="I300" s="7" t="str">
        <x:v>Synthetic tenant A; verified actor with intended scope; relevant pack and connector test profile active; reset fixture before execution.</x:v>
      </x:c>
      <x:c r="J300" s="7" t="str">
        <x:v>1. Load FX-RULE-08. 2. The action catalogue excludes autonomous benefits, sanctions and employment decisions. 3. Capture UI/API results and stored receipt or audit evidence.</x:v>
      </x:c>
      <x:c r="K300" s="7" t="str">
        <x:v>Requests for an automatic denial or sanction produce no operational transaction and identify the required authority.</x:v>
      </x:c>
      <x:c r="L300" s="10" t="str">
        <x:v>Not run</x:v>
      </x:c>
      <x:c r="M300" s="10" t="str">
        <x:v>QA with All actors</x:v>
      </x:c>
      <x:c r="N300" s="10" t="str"/>
      <x:c r="O300" s="10" t="str"/>
      <x:c r="P300" s="7" t="n">
        <x:f>IF(LEN(N300)&gt;0,1,0)</x:f>
        <x:v>0</x:v>
      </x:c>
    </x:row>
    <x:row r="301" ht="47.25" customHeight="1">
      <x:c r="A301" s="8" t="str">
        <x:v>TC-BR-RULE-08-B</x:v>
      </x:c>
      <x:c r="B301" s="8" t="str">
        <x:v>BR-RULE-08</x:v>
      </x:c>
      <x:c r="C301" s="8" t="str">
        <x:v>FR-RULE-08</x:v>
      </x:c>
      <x:c r="D301" s="8" t="str">
        <x:v>No silent adverse allocation adverse condition</x:v>
      </x:c>
      <x:c r="E301" s="8" t="str">
        <x:v>Negative or recovery</x:v>
      </x:c>
      <x:c r="F301" s="8" t="str">
        <x:v>Must</x:v>
      </x:c>
      <x:c r="G301" s="8" t="str">
        <x:v>R1</x:v>
      </x:c>
      <x:c r="H301" s="8" t="str">
        <x:v>FX-RULE-08-NEG</x:v>
      </x:c>
      <x:c r="I301" s="8" t="str">
        <x:v>Isolated synthetic tenant; begin from the corresponding acceptance scenario; inject only the named adverse condition.</x:v>
      </x:c>
      <x:c r="J301" s="8" t="str">
        <x:v>1. Establish the normal precondition. 2. Ask the agent to deny a service based on attendance history; no such command can execute. 3. Inspect user state, side effects, audit and any recovery queue.</x:v>
      </x:c>
      <x:c r="K301" s="8" t="str">
        <x:v>Ask the agent to deny a service based on attendance history; no such command can execute. Evidence must show the actual final state and any accountable unresolved work.</x:v>
      </x:c>
      <x:c r="L301" s="10" t="str">
        <x:v>Not run</x:v>
      </x:c>
      <x:c r="M301" s="10" t="str">
        <x:v>QA with All actors</x:v>
      </x:c>
      <x:c r="N301" s="10" t="str"/>
      <x:c r="O301" s="10" t="str"/>
      <x:c r="P301" s="8" t="n">
        <x:f>IF(LEN(N301)&gt;0,1,0)</x:f>
        <x:v>0</x:v>
      </x:c>
    </x:row>
    <x:row r="302" ht="47.25" customHeight="1">
      <x:c r="A302" s="7" t="str">
        <x:v>TC-NFR-01-A</x:v>
      </x:c>
      <x:c r="B302" s="7" t="str">
        <x:v>NFR-01</x:v>
      </x:c>
      <x:c r="C302" s="7" t="str">
        <x:v>QR-01</x:v>
      </x:c>
      <x:c r="D302" s="7" t="str">
        <x:v>Core availability acceptance</x:v>
      </x:c>
      <x:c r="E302" s="7" t="str">
        <x:v>Performance or control</x:v>
      </x:c>
      <x:c r="F302" s="7" t="str">
        <x:v>Must</x:v>
      </x:c>
      <x:c r="G302" s="7" t="str">
        <x:v>R1</x:v>
      </x:c>
      <x:c r="H302" s="7" t="str">
        <x:v>FX-NFR-01</x:v>
      </x:c>
      <x:c r="I302" s="7" t="str">
        <x:v>Synthetic tenant A; verified actor with intended scope; relevant pack and connector test profile active; reset fixture before execution.</x:v>
      </x:c>
      <x:c r="J302" s="7" t="str">
        <x:v>1. Load FX-NFR-01. 2. Measure successful authenticated core probes and real requests over a calendar month; publish planned maintenance and dependency failures separately. 3. Capture UI/API results and stored receipt or audit evidence.</x:v>
      </x:c>
      <x:c r="K302" s="7" t="str">
        <x:v>Synthetic probes, error logs and incident records reconcile to a monthly report with transparent exclusions.</x:v>
      </x:c>
      <x:c r="L302" s="10" t="str">
        <x:v>Not run</x:v>
      </x:c>
      <x:c r="M302" s="10" t="str">
        <x:v>QA with engineering owner</x:v>
      </x:c>
      <x:c r="N302" s="10" t="str"/>
      <x:c r="O302" s="10" t="str"/>
      <x:c r="P302" s="7" t="n">
        <x:f>IF(LEN(N302)&gt;0,1,0)</x:f>
        <x:v>0</x:v>
      </x:c>
    </x:row>
    <x:row r="303" ht="47.25" customHeight="1">
      <x:c r="A303" s="8" t="str">
        <x:v>TC-NFR-01-B</x:v>
      </x:c>
      <x:c r="B303" s="8" t="str">
        <x:v>NFR-01</x:v>
      </x:c>
      <x:c r="C303" s="8" t="str">
        <x:v>QR-01</x:v>
      </x:c>
      <x:c r="D303" s="8" t="str">
        <x:v>Core availability adverse condition</x:v>
      </x:c>
      <x:c r="E303" s="8" t="str">
        <x:v>Negative or recovery</x:v>
      </x:c>
      <x:c r="F303" s="8" t="str">
        <x:v>Must</x:v>
      </x:c>
      <x:c r="G303" s="8" t="str">
        <x:v>R1</x:v>
      </x:c>
      <x:c r="H303" s="8" t="str">
        <x:v>FX-NFR-01-NEG</x:v>
      </x:c>
      <x:c r="I303" s="8" t="str">
        <x:v>Isolated synthetic tenant; begin from the corresponding acceptance scenario; inject only the named adverse condition.</x:v>
      </x:c>
      <x:c r="J303" s="8" t="str">
        <x:v>1. Establish the normal precondition. 2. Inject an upstream outage; do not omit it from the end-to-end availability view. 3. Inspect user state, side effects, audit and any recovery queue.</x:v>
      </x:c>
      <x:c r="K303" s="8" t="str">
        <x:v>Inject an upstream outage; do not omit it from the end-to-end availability view. Evidence must show the actual final state and any accountable unresolved work.</x:v>
      </x:c>
      <x:c r="L303" s="10" t="str">
        <x:v>Not run</x:v>
      </x:c>
      <x:c r="M303" s="10" t="str">
        <x:v>QA with engineering owner</x:v>
      </x:c>
      <x:c r="N303" s="10" t="str"/>
      <x:c r="O303" s="10" t="str"/>
      <x:c r="P303" s="8" t="n">
        <x:f>IF(LEN(N303)&gt;0,1,0)</x:f>
        <x:v>0</x:v>
      </x:c>
    </x:row>
    <x:row r="304" ht="47.25" customHeight="1">
      <x:c r="A304" s="7" t="str">
        <x:v>TC-NFR-02-A</x:v>
      </x:c>
      <x:c r="B304" s="7" t="str">
        <x:v>NFR-02</x:v>
      </x:c>
      <x:c r="C304" s="7" t="str">
        <x:v>QR-02</x:v>
      </x:c>
      <x:c r="D304" s="7" t="str">
        <x:v>Responsive field interface acceptance</x:v>
      </x:c>
      <x:c r="E304" s="7" t="str">
        <x:v>Performance or control</x:v>
      </x:c>
      <x:c r="F304" s="7" t="str">
        <x:v>Must</x:v>
      </x:c>
      <x:c r="G304" s="7" t="str">
        <x:v>R1</x:v>
      </x:c>
      <x:c r="H304" s="7" t="str">
        <x:v>FX-NFR-02</x:v>
      </x:c>
      <x:c r="I304" s="7" t="str">
        <x:v>Synthetic tenant A; verified actor with intended scope; relevant pack and connector test profile active; reset fixture before execution.</x:v>
      </x:c>
      <x:c r="J304" s="7" t="str">
        <x:v>1. Load FX-NFR-02. 2. Run the BRD reference device and network profile; collect at least 1000 timings per tested path and report median p95 p99 and errors. 3. Capture UI/API results and stored receipt or audit evidence.</x:v>
      </x:c>
      <x:c r="K304" s="7" t="str">
        <x:v>Instrument representative tasks under R1 load and report failed requests and slow outliers, not just averages.</x:v>
      </x:c>
      <x:c r="L304" s="10" t="str">
        <x:v>Not run</x:v>
      </x:c>
      <x:c r="M304" s="10" t="str">
        <x:v>QA with engineering owner</x:v>
      </x:c>
      <x:c r="N304" s="10" t="str"/>
      <x:c r="O304" s="10" t="str"/>
      <x:c r="P304" s="7" t="n">
        <x:f>IF(LEN(N304)&gt;0,1,0)</x:f>
        <x:v>0</x:v>
      </x:c>
    </x:row>
    <x:row r="305" ht="47.25" customHeight="1">
      <x:c r="A305" s="8" t="str">
        <x:v>TC-NFR-02-B</x:v>
      </x:c>
      <x:c r="B305" s="8" t="str">
        <x:v>NFR-02</x:v>
      </x:c>
      <x:c r="C305" s="8" t="str">
        <x:v>QR-02</x:v>
      </x:c>
      <x:c r="D305" s="8" t="str">
        <x:v>Responsive field interface adverse condition</x:v>
      </x:c>
      <x:c r="E305" s="8" t="str">
        <x:v>Negative or recovery</x:v>
      </x:c>
      <x:c r="F305" s="8" t="str">
        <x:v>Must</x:v>
      </x:c>
      <x:c r="G305" s="8" t="str">
        <x:v>R1</x:v>
      </x:c>
      <x:c r="H305" s="8" t="str">
        <x:v>FX-NFR-02-NEG</x:v>
      </x:c>
      <x:c r="I305" s="8" t="str">
        <x:v>Isolated synthetic tenant; begin from the corresponding acceptance scenario; inject only the named adverse condition.</x:v>
      </x:c>
      <x:c r="J305" s="8" t="str">
        <x:v>1. Establish the normal precondition. 2. Repeat at degraded bandwidth and latency; do not apply reference-network targets to a different test silently. 3. Inspect user state, side effects, audit and any recovery queue.</x:v>
      </x:c>
      <x:c r="K305" s="8" t="str">
        <x:v>Repeat at degraded bandwidth and latency; do not apply reference-network targets to a different test silently. Evidence must show the actual final state and any accountable unresolved work.</x:v>
      </x:c>
      <x:c r="L305" s="10" t="str">
        <x:v>Not run</x:v>
      </x:c>
      <x:c r="M305" s="10" t="str">
        <x:v>QA with engineering owner</x:v>
      </x:c>
      <x:c r="N305" s="10" t="str"/>
      <x:c r="O305" s="10" t="str"/>
      <x:c r="P305" s="8" t="n">
        <x:f>IF(LEN(N305)&gt;0,1,0)</x:f>
        <x:v>0</x:v>
      </x:c>
    </x:row>
    <x:row r="306" ht="47.25" customHeight="1">
      <x:c r="A306" s="7" t="str">
        <x:v>TC-NFR-03-A</x:v>
      </x:c>
      <x:c r="B306" s="7" t="str">
        <x:v>NFR-03</x:v>
      </x:c>
      <x:c r="C306" s="7" t="str">
        <x:v>QR-03</x:v>
      </x:c>
      <x:c r="D306" s="7" t="str">
        <x:v>Visible AI progress acceptance</x:v>
      </x:c>
      <x:c r="E306" s="7" t="str">
        <x:v>Performance or control</x:v>
      </x:c>
      <x:c r="F306" s="7" t="str">
        <x:v>Must</x:v>
      </x:c>
      <x:c r="G306" s="7" t="str">
        <x:v>R1</x:v>
      </x:c>
      <x:c r="H306" s="7" t="str">
        <x:v>FX-NFR-03</x:v>
      </x:c>
      <x:c r="I306" s="7" t="str">
        <x:v>Synthetic tenant A; verified actor with intended scope; relevant pack and connector test profile active; reset fixture before execution.</x:v>
      </x:c>
      <x:c r="J306" s="7" t="str">
        <x:v>1. Load FX-NFR-03. 2. Time acknowledgement and progress updates for synchronous and long-running AI calls; measure provider latency separately. 3. Capture UI/API results and stored receipt or audit evidence.</x:v>
      </x:c>
      <x:c r="K306" s="7" t="str">
        <x:v>Timeout and delayed-provider tests show usable status and preserve the underlying encounter workflow.</x:v>
      </x:c>
      <x:c r="L306" s="10" t="str">
        <x:v>Not run</x:v>
      </x:c>
      <x:c r="M306" s="10" t="str">
        <x:v>QA with engineering owner</x:v>
      </x:c>
      <x:c r="N306" s="10" t="str"/>
      <x:c r="O306" s="10" t="str"/>
      <x:c r="P306" s="7" t="n">
        <x:f>IF(LEN(N306)&gt;0,1,0)</x:f>
        <x:v>0</x:v>
      </x:c>
    </x:row>
    <x:row r="307" ht="47.25" customHeight="1">
      <x:c r="A307" s="8" t="str">
        <x:v>TC-NFR-03-B</x:v>
      </x:c>
      <x:c r="B307" s="8" t="str">
        <x:v>NFR-03</x:v>
      </x:c>
      <x:c r="C307" s="8" t="str">
        <x:v>QR-03</x:v>
      </x:c>
      <x:c r="D307" s="8" t="str">
        <x:v>Visible AI progress adverse condition</x:v>
      </x:c>
      <x:c r="E307" s="8" t="str">
        <x:v>Negative or recovery</x:v>
      </x:c>
      <x:c r="F307" s="8" t="str">
        <x:v>Must</x:v>
      </x:c>
      <x:c r="G307" s="8" t="str">
        <x:v>R1</x:v>
      </x:c>
      <x:c r="H307" s="8" t="str">
        <x:v>FX-NFR-03-NEG</x:v>
      </x:c>
      <x:c r="I307" s="8" t="str">
        <x:v>Isolated synthetic tenant; begin from the corresponding acceptance scenario; inject only the named adverse condition.</x:v>
      </x:c>
      <x:c r="J307" s="8" t="str">
        <x:v>1. Establish the normal precondition. 2. Delay a provider beyond its deadline; show timeout or pending state without fabricated completion. 3. Inspect user state, side effects, audit and any recovery queue.</x:v>
      </x:c>
      <x:c r="K307" s="8" t="str">
        <x:v>Delay a provider beyond its deadline; show timeout or pending state without fabricated completion. Evidence must show the actual final state and any accountable unresolved work.</x:v>
      </x:c>
      <x:c r="L307" s="10" t="str">
        <x:v>Not run</x:v>
      </x:c>
      <x:c r="M307" s="10" t="str">
        <x:v>QA with engineering owner</x:v>
      </x:c>
      <x:c r="N307" s="10" t="str"/>
      <x:c r="O307" s="10" t="str"/>
      <x:c r="P307" s="8" t="n">
        <x:f>IF(LEN(N307)&gt;0,1,0)</x:f>
        <x:v>0</x:v>
      </x:c>
    </x:row>
    <x:row r="308" ht="47.25" customHeight="1">
      <x:c r="A308" s="7" t="str">
        <x:v>TC-NFR-04-A</x:v>
      </x:c>
      <x:c r="B308" s="7" t="str">
        <x:v>NFR-04</x:v>
      </x:c>
      <x:c r="C308" s="7" t="str">
        <x:v>QR-04</x:v>
      </x:c>
      <x:c r="D308" s="7" t="str">
        <x:v>No loss of acknowledged local work acceptance</x:v>
      </x:c>
      <x:c r="E308" s="7" t="str">
        <x:v>Performance or control</x:v>
      </x:c>
      <x:c r="F308" s="7" t="str">
        <x:v>Must</x:v>
      </x:c>
      <x:c r="G308" s="7" t="str">
        <x:v>R1</x:v>
      </x:c>
      <x:c r="H308" s="7" t="str">
        <x:v>FX-NFR-04</x:v>
      </x:c>
      <x:c r="I308" s="7" t="str">
        <x:v>Synthetic tenant A; verified actor with intended scope; relevant pack and connector test profile active; reset fixture before execution.</x:v>
      </x:c>
      <x:c r="J308" s="7" t="str">
        <x:v>1. Load FX-NFR-04. 2. Inject process kills router restart storage-full and power-loss simulations around acknowledged local commits. 3. Capture UI/API results and stored receipt or audit evidence.</x:v>
      </x:c>
      <x:c r="K308" s="7" t="str">
        <x:v>Fault injection recovers all acknowledged records and identifies any unacknowledged inputs as unsaved.</x:v>
      </x:c>
      <x:c r="L308" s="10" t="str">
        <x:v>Not run</x:v>
      </x:c>
      <x:c r="M308" s="10" t="str">
        <x:v>QA with engineering owner</x:v>
      </x:c>
      <x:c r="N308" s="10" t="str"/>
      <x:c r="O308" s="10" t="str"/>
      <x:c r="P308" s="7" t="n">
        <x:f>IF(LEN(N308)&gt;0,1,0)</x:f>
        <x:v>0</x:v>
      </x:c>
    </x:row>
    <x:row r="309" ht="47.25" customHeight="1">
      <x:c r="A309" s="8" t="str">
        <x:v>TC-NFR-04-B</x:v>
      </x:c>
      <x:c r="B309" s="8" t="str">
        <x:v>NFR-04</x:v>
      </x:c>
      <x:c r="C309" s="8" t="str">
        <x:v>QR-04</x:v>
      </x:c>
      <x:c r="D309" s="8" t="str">
        <x:v>No loss of acknowledged local work adverse condition</x:v>
      </x:c>
      <x:c r="E309" s="8" t="str">
        <x:v>Negative or recovery</x:v>
      </x:c>
      <x:c r="F309" s="8" t="str">
        <x:v>Must</x:v>
      </x:c>
      <x:c r="G309" s="8" t="str">
        <x:v>R1</x:v>
      </x:c>
      <x:c r="H309" s="8" t="str">
        <x:v>FX-NFR-04-NEG</x:v>
      </x:c>
      <x:c r="I309" s="8" t="str">
        <x:v>Isolated synthetic tenant; begin from the corresponding acceptance scenario; inject only the named adverse condition.</x:v>
      </x:c>
      <x:c r="J309" s="8" t="str">
        <x:v>1. Establish the normal precondition. 2. Destroy unsynchronised device storage; report the excluded failure and recovery limit explicitly. 3. Inspect user state, side effects, audit and any recovery queue.</x:v>
      </x:c>
      <x:c r="K309" s="8" t="str">
        <x:v>Destroy unsynchronised device storage; report the excluded failure and recovery limit explicitly. Evidence must show the actual final state and any accountable unresolved work.</x:v>
      </x:c>
      <x:c r="L309" s="10" t="str">
        <x:v>Not run</x:v>
      </x:c>
      <x:c r="M309" s="10" t="str">
        <x:v>QA with engineering owner</x:v>
      </x:c>
      <x:c r="N309" s="10" t="str"/>
      <x:c r="O309" s="10" t="str"/>
      <x:c r="P309" s="8" t="n">
        <x:f>IF(LEN(N309)&gt;0,1,0)</x:f>
        <x:v>0</x:v>
      </x:c>
    </x:row>
    <x:row r="310" ht="47.25" customHeight="1">
      <x:c r="A310" s="7" t="str">
        <x:v>TC-NFR-05-A</x:v>
      </x:c>
      <x:c r="B310" s="7" t="str">
        <x:v>NFR-05</x:v>
      </x:c>
      <x:c r="C310" s="7" t="str">
        <x:v>QR-05</x:v>
      </x:c>
      <x:c r="D310" s="7" t="str">
        <x:v>Duplicate-safe execution acceptance</x:v>
      </x:c>
      <x:c r="E310" s="7" t="str">
        <x:v>Performance or control</x:v>
      </x:c>
      <x:c r="F310" s="7" t="str">
        <x:v>Must</x:v>
      </x:c>
      <x:c r="G310" s="7" t="str">
        <x:v>R1</x:v>
      </x:c>
      <x:c r="H310" s="7" t="str">
        <x:v>FX-NFR-05</x:v>
      </x:c>
      <x:c r="I310" s="7" t="str">
        <x:v>Synthetic tenant A; verified actor with intended scope; relevant pack and connector test profile active; reset fixture before execution.</x:v>
      </x:c>
      <x:c r="J310" s="7" t="str">
        <x:v>1. Load FX-NFR-05. 2. Replay at least 10000 action deliveries with timeouts before and after external acceptance and compare destination counts. 3. Capture UI/API results and stored receipt or audit evidence.</x:v>
      </x:c>
      <x:c r="K310" s="7" t="str">
        <x:v>At least 10000 replay and timeout test events produce no duplicate accepted activity in the supported connector fixtures.</x:v>
      </x:c>
      <x:c r="L310" s="10" t="str">
        <x:v>Not run</x:v>
      </x:c>
      <x:c r="M310" s="10" t="str">
        <x:v>QA with engineering owner</x:v>
      </x:c>
      <x:c r="N310" s="10" t="str"/>
      <x:c r="O310" s="10" t="str"/>
      <x:c r="P310" s="7" t="n">
        <x:f>IF(LEN(N310)&gt;0,1,0)</x:f>
        <x:v>0</x:v>
      </x:c>
    </x:row>
    <x:row r="311" ht="47.25" customHeight="1">
      <x:c r="A311" s="8" t="str">
        <x:v>TC-NFR-05-B</x:v>
      </x:c>
      <x:c r="B311" s="8" t="str">
        <x:v>NFR-05</x:v>
      </x:c>
      <x:c r="C311" s="8" t="str">
        <x:v>QR-05</x:v>
      </x:c>
      <x:c r="D311" s="8" t="str">
        <x:v>Duplicate-safe execution adverse condition</x:v>
      </x:c>
      <x:c r="E311" s="8" t="str">
        <x:v>Negative or recovery</x:v>
      </x:c>
      <x:c r="F311" s="8" t="str">
        <x:v>Must</x:v>
      </x:c>
      <x:c r="G311" s="8" t="str">
        <x:v>R1</x:v>
      </x:c>
      <x:c r="H311" s="8" t="str">
        <x:v>FX-NFR-05-NEG</x:v>
      </x:c>
      <x:c r="I311" s="8" t="str">
        <x:v>Isolated synthetic tenant; begin from the corresponding acceptance scenario; inject only the named adverse condition.</x:v>
      </x:c>
      <x:c r="J311" s="8" t="str">
        <x:v>1. Establish the normal precondition. 2. Use a destination without deduplication or status lookup; require unresolved review rather than blind retry. 3. Inspect user state, side effects, audit and any recovery queue.</x:v>
      </x:c>
      <x:c r="K311" s="8" t="str">
        <x:v>Use a destination without deduplication or status lookup; require unresolved review rather than blind retry. Evidence must show the actual final state and any accountable unresolved work.</x:v>
      </x:c>
      <x:c r="L311" s="10" t="str">
        <x:v>Not run</x:v>
      </x:c>
      <x:c r="M311" s="10" t="str">
        <x:v>QA with engineering owner</x:v>
      </x:c>
      <x:c r="N311" s="10" t="str"/>
      <x:c r="O311" s="10" t="str"/>
      <x:c r="P311" s="8" t="n">
        <x:f>IF(LEN(N311)&gt;0,1,0)</x:f>
        <x:v>0</x:v>
      </x:c>
    </x:row>
    <x:row r="312" ht="47.25" customHeight="1">
      <x:c r="A312" s="7" t="str">
        <x:v>TC-NFR-06-A</x:v>
      </x:c>
      <x:c r="B312" s="7" t="str">
        <x:v>NFR-06</x:v>
      </x:c>
      <x:c r="C312" s="7" t="str">
        <x:v>QR-06</x:v>
      </x:c>
      <x:c r="D312" s="7" t="str">
        <x:v>Server recovery acceptance</x:v>
      </x:c>
      <x:c r="E312" s="7" t="str">
        <x:v>Performance or control</x:v>
      </x:c>
      <x:c r="F312" s="7" t="str">
        <x:v>Must</x:v>
      </x:c>
      <x:c r="G312" s="7" t="str">
        <x:v>R1</x:v>
      </x:c>
      <x:c r="H312" s="7" t="str">
        <x:v>FX-NFR-06</x:v>
      </x:c>
      <x:c r="I312" s="7" t="str">
        <x:v>Synthetic tenant A; verified actor with intended scope; relevant pack and connector test profile active; reset fixture before execution.</x:v>
      </x:c>
      <x:c r="J312" s="7" t="str">
        <x:v>1. Load FX-NFR-06. 2. Restore database and object references from a timed backup checkpoint; measure actual data loss and recovery elapsed time. 3. Capture UI/API results and stored receipt or audit evidence.</x:v>
      </x:c>
      <x:c r="K312" s="7" t="str">
        <x:v>A documented restore exercise measures actual recovery, integrity and replay of affected outstanding work.</x:v>
      </x:c>
      <x:c r="L312" s="10" t="str">
        <x:v>Not run</x:v>
      </x:c>
      <x:c r="M312" s="10" t="str">
        <x:v>QA with engineering owner</x:v>
      </x:c>
      <x:c r="N312" s="10" t="str"/>
      <x:c r="O312" s="10" t="str"/>
      <x:c r="P312" s="7" t="n">
        <x:f>IF(LEN(N312)&gt;0,1,0)</x:f>
        <x:v>0</x:v>
      </x:c>
    </x:row>
    <x:row r="313" ht="47.25" customHeight="1">
      <x:c r="A313" s="8" t="str">
        <x:v>TC-NFR-06-B</x:v>
      </x:c>
      <x:c r="B313" s="8" t="str">
        <x:v>NFR-06</x:v>
      </x:c>
      <x:c r="C313" s="8" t="str">
        <x:v>QR-06</x:v>
      </x:c>
      <x:c r="D313" s="8" t="str">
        <x:v>Server recovery adverse condition</x:v>
      </x:c>
      <x:c r="E313" s="8" t="str">
        <x:v>Negative or recovery</x:v>
      </x:c>
      <x:c r="F313" s="8" t="str">
        <x:v>Must</x:v>
      </x:c>
      <x:c r="G313" s="8" t="str">
        <x:v>R1</x:v>
      </x:c>
      <x:c r="H313" s="8" t="str">
        <x:v>FX-NFR-06-NEG</x:v>
      </x:c>
      <x:c r="I313" s="8" t="str">
        <x:v>Isolated synthetic tenant; begin from the corresponding acceptance scenario; inject only the named adverse condition.</x:v>
      </x:c>
      <x:c r="J313" s="8" t="str">
        <x:v>1. Establish the normal precondition. 2. Lose the newest backup and repeat; disclose any RPO or RTO breach. 3. Inspect user state, side effects, audit and any recovery queue.</x:v>
      </x:c>
      <x:c r="K313" s="8" t="str">
        <x:v>Lose the newest backup and repeat; disclose any RPO or RTO breach. Evidence must show the actual final state and any accountable unresolved work.</x:v>
      </x:c>
      <x:c r="L313" s="10" t="str">
        <x:v>Not run</x:v>
      </x:c>
      <x:c r="M313" s="10" t="str">
        <x:v>QA with engineering owner</x:v>
      </x:c>
      <x:c r="N313" s="10" t="str"/>
      <x:c r="O313" s="10" t="str"/>
      <x:c r="P313" s="8" t="n">
        <x:f>IF(LEN(N313)&gt;0,1,0)</x:f>
        <x:v>0</x:v>
      </x:c>
    </x:row>
    <x:row r="314" ht="47.25" customHeight="1">
      <x:c r="A314" s="7" t="str">
        <x:v>TC-NFR-07-A</x:v>
      </x:c>
      <x:c r="B314" s="7" t="str">
        <x:v>NFR-07</x:v>
      </x:c>
      <x:c r="C314" s="7" t="str">
        <x:v>QR-07</x:v>
      </x:c>
      <x:c r="D314" s="7" t="str">
        <x:v>Data integrity acceptance</x:v>
      </x:c>
      <x:c r="E314" s="7" t="str">
        <x:v>Performance or control</x:v>
      </x:c>
      <x:c r="F314" s="7" t="str">
        <x:v>Must</x:v>
      </x:c>
      <x:c r="G314" s="7" t="str">
        <x:v>R1</x:v>
      </x:c>
      <x:c r="H314" s="7" t="str">
        <x:v>FX-NFR-07</x:v>
      </x:c>
      <x:c r="I314" s="7" t="str">
        <x:v>Synthetic tenant A; verified actor with intended scope; relevant pack and connector test profile active; reset fixture before execution.</x:v>
      </x:c>
      <x:c r="J314" s="7" t="str">
        <x:v>1. Load FX-NFR-07. 2. Run referential, version and receipt reconciliation across migration and failure fixtures and count orphaned records. 3. Capture UI/API results and stored receipt or audit evidence.</x:v>
      </x:c>
      <x:c r="K314" s="7" t="str">
        <x:v>Release reconciliation covers every generated record in the migration and failure test corpus, with zero unexplained loss.</x:v>
      </x:c>
      <x:c r="L314" s="10" t="str">
        <x:v>Not run</x:v>
      </x:c>
      <x:c r="M314" s="10" t="str">
        <x:v>QA with engineering owner</x:v>
      </x:c>
      <x:c r="N314" s="10" t="str"/>
      <x:c r="O314" s="10" t="str"/>
      <x:c r="P314" s="7" t="n">
        <x:f>IF(LEN(N314)&gt;0,1,0)</x:f>
        <x:v>0</x:v>
      </x:c>
    </x:row>
    <x:row r="315" ht="47.25" customHeight="1">
      <x:c r="A315" s="8" t="str">
        <x:v>TC-NFR-07-B</x:v>
      </x:c>
      <x:c r="B315" s="8" t="str">
        <x:v>NFR-07</x:v>
      </x:c>
      <x:c r="C315" s="8" t="str">
        <x:v>QR-07</x:v>
      </x:c>
      <x:c r="D315" s="8" t="str">
        <x:v>Data integrity adverse condition</x:v>
      </x:c>
      <x:c r="E315" s="8" t="str">
        <x:v>Negative or recovery</x:v>
      </x:c>
      <x:c r="F315" s="8" t="str">
        <x:v>Must</x:v>
      </x:c>
      <x:c r="G315" s="8" t="str">
        <x:v>R1</x:v>
      </x:c>
      <x:c r="H315" s="8" t="str">
        <x:v>FX-NFR-07-NEG</x:v>
      </x:c>
      <x:c r="I315" s="8" t="str">
        <x:v>Isolated synthetic tenant; begin from the corresponding acceptance scenario; inject only the named adverse condition.</x:v>
      </x:c>
      <x:c r="J315" s="8" t="str">
        <x:v>1. Establish the normal precondition. 2. Inject a missing person dependency and orphan media key; quarantine without silent data loss. 3. Inspect user state, side effects, audit and any recovery queue.</x:v>
      </x:c>
      <x:c r="K315" s="8" t="str">
        <x:v>Inject a missing person dependency and orphan media key; quarantine without silent data loss. Evidence must show the actual final state and any accountable unresolved work.</x:v>
      </x:c>
      <x:c r="L315" s="10" t="str">
        <x:v>Not run</x:v>
      </x:c>
      <x:c r="M315" s="10" t="str">
        <x:v>QA with engineering owner</x:v>
      </x:c>
      <x:c r="N315" s="10" t="str"/>
      <x:c r="O315" s="10" t="str"/>
      <x:c r="P315" s="8" t="n">
        <x:f>IF(LEN(N315)&gt;0,1,0)</x:f>
        <x:v>0</x:v>
      </x:c>
    </x:row>
    <x:row r="316" ht="47.25" customHeight="1">
      <x:c r="A316" s="7" t="str">
        <x:v>TC-NFR-08-A</x:v>
      </x:c>
      <x:c r="B316" s="7" t="str">
        <x:v>NFR-08</x:v>
      </x:c>
      <x:c r="C316" s="7" t="str">
        <x:v>QR-08</x:v>
      </x:c>
      <x:c r="D316" s="7" t="str">
        <x:v>Security release posture acceptance</x:v>
      </x:c>
      <x:c r="E316" s="7" t="str">
        <x:v>Performance or control</x:v>
      </x:c>
      <x:c r="F316" s="7" t="str">
        <x:v>Must</x:v>
      </x:c>
      <x:c r="G316" s="7" t="str">
        <x:v>R1</x:v>
      </x:c>
      <x:c r="H316" s="7" t="str">
        <x:v>FX-NFR-08</x:v>
      </x:c>
      <x:c r="I316" s="7" t="str">
        <x:v>Synthetic tenant A; verified actor with intended scope; relevant pack and connector test profile active; reset fixture before execution.</x:v>
      </x:c>
      <x:c r="J316" s="7" t="str">
        <x:v>1. Load FX-NFR-08. 2. Run independent security assessment and verify all applicable critical or high exploitable findings closed or feature removed. 3. Capture UI/API results and stored receipt or audit evidence.</x:v>
      </x:c>
      <x:c r="K316" s="7" t="str">
        <x:v>Independent review covers access control, mobile storage, APIs, secrets, file access, agent tool abuse and tenant isolation.</x:v>
      </x:c>
      <x:c r="L316" s="10" t="str">
        <x:v>Not run</x:v>
      </x:c>
      <x:c r="M316" s="10" t="str">
        <x:v>QA with engineering owner</x:v>
      </x:c>
      <x:c r="N316" s="10" t="str"/>
      <x:c r="O316" s="10" t="str"/>
      <x:c r="P316" s="7" t="n">
        <x:f>IF(LEN(N316)&gt;0,1,0)</x:f>
        <x:v>0</x:v>
      </x:c>
    </x:row>
    <x:row r="317" ht="47.25" customHeight="1">
      <x:c r="A317" s="8" t="str">
        <x:v>TC-NFR-08-B</x:v>
      </x:c>
      <x:c r="B317" s="8" t="str">
        <x:v>NFR-08</x:v>
      </x:c>
      <x:c r="C317" s="8" t="str">
        <x:v>QR-08</x:v>
      </x:c>
      <x:c r="D317" s="8" t="str">
        <x:v>Security release posture adverse condition</x:v>
      </x:c>
      <x:c r="E317" s="8" t="str">
        <x:v>Negative or recovery</x:v>
      </x:c>
      <x:c r="F317" s="8" t="str">
        <x:v>Must</x:v>
      </x:c>
      <x:c r="G317" s="8" t="str">
        <x:v>R1</x:v>
      </x:c>
      <x:c r="H317" s="8" t="str">
        <x:v>FX-NFR-08-NEG</x:v>
      </x:c>
      <x:c r="I317" s="8" t="str">
        <x:v>Isolated synthetic tenant; begin from the corresponding acceptance scenario; inject only the named adverse condition.</x:v>
      </x:c>
      <x:c r="J317" s="8" t="str">
        <x:v>1. Establish the normal precondition. 2. Leave one release-blocking finding open; the release gate must fail. 3. Inspect user state, side effects, audit and any recovery queue.</x:v>
      </x:c>
      <x:c r="K317" s="8" t="str">
        <x:v>Leave one release-blocking finding open; the release gate must fail. Evidence must show the actual final state and any accountable unresolved work.</x:v>
      </x:c>
      <x:c r="L317" s="10" t="str">
        <x:v>Not run</x:v>
      </x:c>
      <x:c r="M317" s="10" t="str">
        <x:v>QA with engineering owner</x:v>
      </x:c>
      <x:c r="N317" s="10" t="str"/>
      <x:c r="O317" s="10" t="str"/>
      <x:c r="P317" s="8" t="n">
        <x:f>IF(LEN(N317)&gt;0,1,0)</x:f>
        <x:v>0</x:v>
      </x:c>
    </x:row>
    <x:row r="318" ht="47.25" customHeight="1">
      <x:c r="A318" s="7" t="str">
        <x:v>TC-NFR-09-A</x:v>
      </x:c>
      <x:c r="B318" s="7" t="str">
        <x:v>NFR-09</x:v>
      </x:c>
      <x:c r="C318" s="7" t="str">
        <x:v>QR-09</x:v>
      </x:c>
      <x:c r="D318" s="7" t="str">
        <x:v>Online revocation acceptance</x:v>
      </x:c>
      <x:c r="E318" s="7" t="str">
        <x:v>Performance or control</x:v>
      </x:c>
      <x:c r="F318" s="7" t="str">
        <x:v>Must</x:v>
      </x:c>
      <x:c r="G318" s="7" t="str">
        <x:v>R1</x:v>
      </x:c>
      <x:c r="H318" s="7" t="str">
        <x:v>FX-NFR-09</x:v>
      </x:c>
      <x:c r="I318" s="7" t="str">
        <x:v>Synthetic tenant A; verified actor with intended scope; relevant pack and connector test profile active; reset fixture before execution.</x:v>
      </x:c>
      <x:c r="J318" s="7" t="str">
        <x:v>1. Load FX-NFR-09. 2. Suspend sessions and service accounts during active requests and queues; timestamp last allowed action and first denial. 3. Capture UI/API results and stored receipt or audit evidence.</x:v>
      </x:c>
      <x:c r="K318" s="7" t="str">
        <x:v>Session, background job and reconnect tests enforce the limit and record the residual offline window.</x:v>
      </x:c>
      <x:c r="L318" s="10" t="str">
        <x:v>Not run</x:v>
      </x:c>
      <x:c r="M318" s="10" t="str">
        <x:v>QA with engineering owner</x:v>
      </x:c>
      <x:c r="N318" s="10" t="str"/>
      <x:c r="O318" s="10" t="str"/>
      <x:c r="P318" s="7" t="n">
        <x:f>IF(LEN(N318)&gt;0,1,0)</x:f>
        <x:v>0</x:v>
      </x:c>
    </x:row>
    <x:row r="319" ht="47.25" customHeight="1">
      <x:c r="A319" s="8" t="str">
        <x:v>TC-NFR-09-B</x:v>
      </x:c>
      <x:c r="B319" s="8" t="str">
        <x:v>NFR-09</x:v>
      </x:c>
      <x:c r="C319" s="8" t="str">
        <x:v>QR-09</x:v>
      </x:c>
      <x:c r="D319" s="8" t="str">
        <x:v>Online revocation adverse condition</x:v>
      </x:c>
      <x:c r="E319" s="8" t="str">
        <x:v>Negative or recovery</x:v>
      </x:c>
      <x:c r="F319" s="8" t="str">
        <x:v>Must</x:v>
      </x:c>
      <x:c r="G319" s="8" t="str">
        <x:v>R1</x:v>
      </x:c>
      <x:c r="H319" s="8" t="str">
        <x:v>FX-NFR-09-NEG</x:v>
      </x:c>
      <x:c r="I319" s="8" t="str">
        <x:v>Isolated synthetic tenant; begin from the corresponding acceptance scenario; inject only the named adverse condition.</x:v>
      </x:c>
      <x:c r="J319" s="8" t="str">
        <x:v>1. Establish the normal precondition. 2. Keep an offline device disconnected; report residual access until lease expiry rather than claiming immediate revocation. 3. Inspect user state, side effects, audit and any recovery queue.</x:v>
      </x:c>
      <x:c r="K319" s="8" t="str">
        <x:v>Keep an offline device disconnected; report residual access until lease expiry rather than claiming immediate revocation. Evidence must show the actual final state and any accountable unresolved work.</x:v>
      </x:c>
      <x:c r="L319" s="10" t="str">
        <x:v>Not run</x:v>
      </x:c>
      <x:c r="M319" s="10" t="str">
        <x:v>QA with engineering owner</x:v>
      </x:c>
      <x:c r="N319" s="10" t="str"/>
      <x:c r="O319" s="10" t="str"/>
      <x:c r="P319" s="8" t="n">
        <x:f>IF(LEN(N319)&gt;0,1,0)</x:f>
        <x:v>0</x:v>
      </x:c>
    </x:row>
    <x:row r="320" ht="47.25" customHeight="1">
      <x:c r="A320" s="7" t="str">
        <x:v>TC-NFR-10-A</x:v>
      </x:c>
      <x:c r="B320" s="7" t="str">
        <x:v>NFR-10</x:v>
      </x:c>
      <x:c r="C320" s="7" t="str">
        <x:v>QR-10</x:v>
      </x:c>
      <x:c r="D320" s="7" t="str">
        <x:v>Audit completeness and timing acceptance</x:v>
      </x:c>
      <x:c r="E320" s="7" t="str">
        <x:v>Performance or control</x:v>
      </x:c>
      <x:c r="F320" s="7" t="str">
        <x:v>Must</x:v>
      </x:c>
      <x:c r="G320" s="7" t="str">
        <x:v>R1</x:v>
      </x:c>
      <x:c r="H320" s="7" t="str">
        <x:v>FX-NFR-10</x:v>
      </x:c>
      <x:c r="I320" s="7" t="str">
        <x:v>Synthetic tenant A; verified actor with intended scope; relevant pack and connector test profile active; reset fixture before execution.</x:v>
      </x:c>
      <x:c r="J320" s="7" t="str">
        <x:v>1. Load FX-NFR-10. 2. Correlate all tested material commands with durable audit records and verify a crash cannot commit only one side. 3. Capture UI/API results and stored receipt or audit evidence.</x:v>
      </x:c>
      <x:c r="K320" s="7" t="str">
        <x:v>Audit-store failure blocks the designated actions, while recovery preserves event order and detects clock skew.</x:v>
      </x:c>
      <x:c r="L320" s="10" t="str">
        <x:v>Not run</x:v>
      </x:c>
      <x:c r="M320" s="10" t="str">
        <x:v>QA with engineering owner</x:v>
      </x:c>
      <x:c r="N320" s="10" t="str"/>
      <x:c r="O320" s="10" t="str"/>
      <x:c r="P320" s="7" t="n">
        <x:f>IF(LEN(N320)&gt;0,1,0)</x:f>
        <x:v>0</x:v>
      </x:c>
    </x:row>
    <x:row r="321" ht="47.25" customHeight="1">
      <x:c r="A321" s="8" t="str">
        <x:v>TC-NFR-10-B</x:v>
      </x:c>
      <x:c r="B321" s="8" t="str">
        <x:v>NFR-10</x:v>
      </x:c>
      <x:c r="C321" s="8" t="str">
        <x:v>QR-10</x:v>
      </x:c>
      <x:c r="D321" s="8" t="str">
        <x:v>Audit completeness and timing adverse condition</x:v>
      </x:c>
      <x:c r="E321" s="8" t="str">
        <x:v>Negative or recovery</x:v>
      </x:c>
      <x:c r="F321" s="8" t="str">
        <x:v>Must</x:v>
      </x:c>
      <x:c r="G321" s="8" t="str">
        <x:v>R1</x:v>
      </x:c>
      <x:c r="H321" s="8" t="str">
        <x:v>FX-NFR-10-NEG</x:v>
      </x:c>
      <x:c r="I321" s="8" t="str">
        <x:v>Isolated synthetic tenant; begin from the corresponding acceptance scenario; inject only the named adverse condition.</x:v>
      </x:c>
      <x:c r="J321" s="8" t="str">
        <x:v>1. Establish the normal precondition. 2. Force audit write failure at commit; block the consequential action. 3. Inspect user state, side effects, audit and any recovery queue.</x:v>
      </x:c>
      <x:c r="K321" s="8" t="str">
        <x:v>Force audit write failure at commit; block the consequential action. Evidence must show the actual final state and any accountable unresolved work.</x:v>
      </x:c>
      <x:c r="L321" s="10" t="str">
        <x:v>Not run</x:v>
      </x:c>
      <x:c r="M321" s="10" t="str">
        <x:v>QA with engineering owner</x:v>
      </x:c>
      <x:c r="N321" s="10" t="str"/>
      <x:c r="O321" s="10" t="str"/>
      <x:c r="P321" s="8" t="n">
        <x:f>IF(LEN(N321)&gt;0,1,0)</x:f>
        <x:v>0</x:v>
      </x:c>
    </x:row>
    <x:row r="322" ht="47.25" customHeight="1">
      <x:c r="A322" s="7" t="str">
        <x:v>TC-NFR-11-A</x:v>
      </x:c>
      <x:c r="B322" s="7" t="str">
        <x:v>NFR-11</x:v>
      </x:c>
      <x:c r="C322" s="7" t="str">
        <x:v>QR-11</x:v>
      </x:c>
      <x:c r="D322" s="7" t="str">
        <x:v>Offline capacity and controlled storage acceptance</x:v>
      </x:c>
      <x:c r="E322" s="7" t="str">
        <x:v>Performance or control</x:v>
      </x:c>
      <x:c r="F322" s="7" t="str">
        <x:v>Must</x:v>
      </x:c>
      <x:c r="G322" s="7" t="str">
        <x:v>R1</x:v>
      </x:c>
      <x:c r="H322" s="7" t="str">
        <x:v>FX-NFR-11</x:v>
      </x:c>
      <x:c r="I322" s="7" t="str">
        <x:v>Synthetic tenant A; verified actor with intended scope; relevant pack and connector test profile active; reset fixture before execution.</x:v>
      </x:c>
      <x:c r="J322" s="7" t="str">
        <x:v>1. Load FX-NFR-11. 2. Store 200 unsynced structured encounters and 100 media items up to 4 MB each within the 500 MB reference allowance. 3. Capture UI/API results and stored receipt or audit evidence.</x:v>
      </x:c>
      <x:c r="K322" s="7" t="str">
        <x:v>Capacity, low-storage and restart tests show warnings and no silent deletion of unsynchronised data.</x:v>
      </x:c>
      <x:c r="L322" s="10" t="str">
        <x:v>Not run</x:v>
      </x:c>
      <x:c r="M322" s="10" t="str">
        <x:v>QA with engineering owner</x:v>
      </x:c>
      <x:c r="N322" s="10" t="str"/>
      <x:c r="O322" s="10" t="str"/>
      <x:c r="P322" s="7" t="n">
        <x:f>IF(LEN(N322)&gt;0,1,0)</x:f>
        <x:v>0</x:v>
      </x:c>
    </x:row>
    <x:row r="323" ht="47.25" customHeight="1">
      <x:c r="A323" s="8" t="str">
        <x:v>TC-NFR-11-B</x:v>
      </x:c>
      <x:c r="B323" s="8" t="str">
        <x:v>NFR-11</x:v>
      </x:c>
      <x:c r="C323" s="8" t="str">
        <x:v>QR-11</x:v>
      </x:c>
      <x:c r="D323" s="8" t="str">
        <x:v>Offline capacity and controlled storage adverse condition</x:v>
      </x:c>
      <x:c r="E323" s="8" t="str">
        <x:v>Negative or recovery</x:v>
      </x:c>
      <x:c r="F323" s="8" t="str">
        <x:v>Must</x:v>
      </x:c>
      <x:c r="G323" s="8" t="str">
        <x:v>R1</x:v>
      </x:c>
      <x:c r="H323" s="8" t="str">
        <x:v>FX-NFR-11-NEG</x:v>
      </x:c>
      <x:c r="I323" s="8" t="str">
        <x:v>Isolated synthetic tenant; begin from the corresponding acceptance scenario; inject only the named adverse condition.</x:v>
      </x:c>
      <x:c r="J323" s="8" t="str">
        <x:v>1. Establish the normal precondition. 2. Approach capacity with oversized media; prevent new capture and preserve pending work. 3. Inspect user state, side effects, audit and any recovery queue.</x:v>
      </x:c>
      <x:c r="K323" s="8" t="str">
        <x:v>Approach capacity with oversized media; prevent new capture and preserve pending work. Evidence must show the actual final state and any accountable unresolved work.</x:v>
      </x:c>
      <x:c r="L323" s="10" t="str">
        <x:v>Not run</x:v>
      </x:c>
      <x:c r="M323" s="10" t="str">
        <x:v>QA with engineering owner</x:v>
      </x:c>
      <x:c r="N323" s="10" t="str"/>
      <x:c r="O323" s="10" t="str"/>
      <x:c r="P323" s="8" t="n">
        <x:f>IF(LEN(N323)&gt;0,1,0)</x:f>
        <x:v>0</x:v>
      </x:c>
    </x:row>
    <x:row r="324" ht="47.25" customHeight="1">
      <x:c r="A324" s="7" t="str">
        <x:v>TC-NFR-12-A</x:v>
      </x:c>
      <x:c r="B324" s="7" t="str">
        <x:v>NFR-12</x:v>
      </x:c>
      <x:c r="C324" s="7" t="str">
        <x:v>QR-12</x:v>
      </x:c>
      <x:c r="D324" s="7" t="str">
        <x:v>Synchronisation recovery acceptance</x:v>
      </x:c>
      <x:c r="E324" s="7" t="str">
        <x:v>Performance or control</x:v>
      </x:c>
      <x:c r="F324" s="7" t="str">
        <x:v>Must</x:v>
      </x:c>
      <x:c r="G324" s="7" t="str">
        <x:v>R1</x:v>
      </x:c>
      <x:c r="H324" s="7" t="str">
        <x:v>FX-NFR-12</x:v>
      </x:c>
      <x:c r="I324" s="7" t="str">
        <x:v>Synthetic tenant A; verified actor with intended scope; relevant pack and connector test profile active; reset fixture before execution.</x:v>
      </x:c>
      <x:c r="J324" s="7" t="str">
        <x:v>1. Load FX-NFR-12. 2. Sync a 200-record structured queue under the BRD reference network and time the 95th percentile eligible arrival. 3. Capture UI/API results and stored receipt or audit evidence.</x:v>
      </x:c>
      <x:c r="K324" s="7" t="str">
        <x:v>Queue tests measure completion, rejected records, permission rechecks and remaining unresolved items.</x:v>
      </x:c>
      <x:c r="L324" s="10" t="str">
        <x:v>Not run</x:v>
      </x:c>
      <x:c r="M324" s="10" t="str">
        <x:v>QA with engineering owner</x:v>
      </x:c>
      <x:c r="N324" s="10" t="str"/>
      <x:c r="O324" s="10" t="str"/>
      <x:c r="P324" s="7" t="n">
        <x:f>IF(LEN(N324)&gt;0,1,0)</x:f>
        <x:v>0</x:v>
      </x:c>
    </x:row>
    <x:row r="325" ht="47.25" customHeight="1">
      <x:c r="A325" s="8" t="str">
        <x:v>TC-NFR-12-B</x:v>
      </x:c>
      <x:c r="B325" s="8" t="str">
        <x:v>NFR-12</x:v>
      </x:c>
      <x:c r="C325" s="8" t="str">
        <x:v>QR-12</x:v>
      </x:c>
      <x:c r="D325" s="8" t="str">
        <x:v>Synchronisation recovery adverse condition</x:v>
      </x:c>
      <x:c r="E325" s="8" t="str">
        <x:v>Negative or recovery</x:v>
      </x:c>
      <x:c r="F325" s="8" t="str">
        <x:v>Must</x:v>
      </x:c>
      <x:c r="G325" s="8" t="str">
        <x:v>R1</x:v>
      </x:c>
      <x:c r="H325" s="8" t="str">
        <x:v>FX-NFR-12-NEG</x:v>
      </x:c>
      <x:c r="I325" s="8" t="str">
        <x:v>Isolated synthetic tenant; begin from the corresponding acceptance scenario; inject only the named adverse condition.</x:v>
      </x:c>
      <x:c r="J325" s="8" t="str">
        <x:v>1. Establish the normal precondition. 2. Add an authorisation rejection; report it separately rather than miscount it as successful sync. 3. Inspect user state, side effects, audit and any recovery queue.</x:v>
      </x:c>
      <x:c r="K325" s="8" t="str">
        <x:v>Add an authorisation rejection; report it separately rather than miscount it as successful sync. Evidence must show the actual final state and any accountable unresolved work.</x:v>
      </x:c>
      <x:c r="L325" s="10" t="str">
        <x:v>Not run</x:v>
      </x:c>
      <x:c r="M325" s="10" t="str">
        <x:v>QA with engineering owner</x:v>
      </x:c>
      <x:c r="N325" s="10" t="str"/>
      <x:c r="O325" s="10" t="str"/>
      <x:c r="P325" s="8" t="n">
        <x:f>IF(LEN(N325)&gt;0,1,0)</x:f>
        <x:v>0</x:v>
      </x:c>
    </x:row>
    <x:row r="326" ht="47.25" customHeight="1">
      <x:c r="A326" s="7" t="str">
        <x:v>TC-NFR-13-A</x:v>
      </x:c>
      <x:c r="B326" s="7" t="str">
        <x:v>NFR-13</x:v>
      </x:c>
      <x:c r="C326" s="7" t="str">
        <x:v>QR-13</x:v>
      </x:c>
      <x:c r="D326" s="7" t="str">
        <x:v>Accessibility acceptance</x:v>
      </x:c>
      <x:c r="E326" s="7" t="str">
        <x:v>Performance or control</x:v>
      </x:c>
      <x:c r="F326" s="7" t="str">
        <x:v>Must</x:v>
      </x:c>
      <x:c r="G326" s="7" t="str">
        <x:v>R1</x:v>
      </x:c>
      <x:c r="H326" s="7" t="str">
        <x:v>FX-NFR-13</x:v>
      </x:c>
      <x:c r="I326" s="7" t="str">
        <x:v>Synthetic tenant A; verified actor with intended scope; relevant pack and connector test profile active; reset fixture before execution.</x:v>
      </x:c>
      <x:c r="J326" s="7" t="str">
        <x:v>1. Load FX-NFR-13. 2. Combine automated accessibility scans with keyboard screen-reader scaling and non-colour task testing. 3. Capture UI/API results and stored receipt or audit evidence.</x:v>
      </x:c>
      <x:c r="K326" s="7" t="str">
        <x:v>Automated assessment plus manual assistive-technology and representative-user testing covers all core journeys.</x:v>
      </x:c>
      <x:c r="L326" s="10" t="str">
        <x:v>Not run</x:v>
      </x:c>
      <x:c r="M326" s="10" t="str">
        <x:v>QA with engineering owner</x:v>
      </x:c>
      <x:c r="N326" s="10" t="str"/>
      <x:c r="O326" s="10" t="str"/>
      <x:c r="P326" s="7" t="n">
        <x:f>IF(LEN(N326)&gt;0,1,0)</x:f>
        <x:v>0</x:v>
      </x:c>
    </x:row>
    <x:row r="327" ht="47.25" customHeight="1">
      <x:c r="A327" s="8" t="str">
        <x:v>TC-NFR-13-B</x:v>
      </x:c>
      <x:c r="B327" s="8" t="str">
        <x:v>NFR-13</x:v>
      </x:c>
      <x:c r="C327" s="8" t="str">
        <x:v>QR-13</x:v>
      </x:c>
      <x:c r="D327" s="8" t="str">
        <x:v>Accessibility adverse condition</x:v>
      </x:c>
      <x:c r="E327" s="8" t="str">
        <x:v>Negative or recovery</x:v>
      </x:c>
      <x:c r="F327" s="8" t="str">
        <x:v>Must</x:v>
      </x:c>
      <x:c r="G327" s="8" t="str">
        <x:v>R1</x:v>
      </x:c>
      <x:c r="H327" s="8" t="str">
        <x:v>FX-NFR-13-NEG</x:v>
      </x:c>
      <x:c r="I327" s="8" t="str">
        <x:v>Isolated synthetic tenant; begin from the corresponding acceptance scenario; inject only the named adverse condition.</x:v>
      </x:c>
      <x:c r="J327" s="8" t="str">
        <x:v>1. Establish the normal precondition. 2. Complete a core flow with no pointer and large text; any blocked action fails accessibility acceptance. 3. Inspect user state, side effects, audit and any recovery queue.</x:v>
      </x:c>
      <x:c r="K327" s="8" t="str">
        <x:v>Complete a core flow with no pointer and large text; any blocked action fails accessibility acceptance. Evidence must show the actual final state and any accountable unresolved work.</x:v>
      </x:c>
      <x:c r="L327" s="10" t="str">
        <x:v>Not run</x:v>
      </x:c>
      <x:c r="M327" s="10" t="str">
        <x:v>QA with engineering owner</x:v>
      </x:c>
      <x:c r="N327" s="10" t="str"/>
      <x:c r="O327" s="10" t="str"/>
      <x:c r="P327" s="8" t="n">
        <x:f>IF(LEN(N327)&gt;0,1,0)</x:f>
        <x:v>0</x:v>
      </x:c>
    </x:row>
    <x:row r="328" ht="47.25" customHeight="1">
      <x:c r="A328" s="7" t="str">
        <x:v>TC-NFR-14-A</x:v>
      </x:c>
      <x:c r="B328" s="7" t="str">
        <x:v>NFR-14</x:v>
      </x:c>
      <x:c r="C328" s="7" t="str">
        <x:v>QR-14</x:v>
      </x:c>
      <x:c r="D328" s="7" t="str">
        <x:v>Usability and training burden acceptance</x:v>
      </x:c>
      <x:c r="E328" s="7" t="str">
        <x:v>Performance or control</x:v>
      </x:c>
      <x:c r="F328" s="7" t="str">
        <x:v>Must</x:v>
      </x:c>
      <x:c r="G328" s="7" t="str">
        <x:v>R1</x:v>
      </x:c>
      <x:c r="H328" s="7" t="str">
        <x:v>FX-NFR-14</x:v>
      </x:c>
      <x:c r="I328" s="7" t="str">
        <x:v>Synthetic tenant A; verified actor with intended scope; relevant pack and connector test profile active; reset fixture before execution.</x:v>
      </x:c>
      <x:c r="J328" s="7" t="str">
        <x:v>1. Load FX-NFR-14. 2. Evaluate at least 20 representative frontline workers and 5 supervisors on unassisted core tasks after standard training. 3. Capture UI/API results and stored receipt or audit evidence.</x:v>
      </x:c>
      <x:c r="K328" s="7" t="str">
        <x:v>Proposed evaluation includes at least 20 representative frontline users and 5 supervisors, with results disaggregated by language and device familiarity.</x:v>
      </x:c>
      <x:c r="L328" s="10" t="str">
        <x:v>Not run</x:v>
      </x:c>
      <x:c r="M328" s="10" t="str">
        <x:v>QA with engineering owner</x:v>
      </x:c>
      <x:c r="N328" s="10" t="str"/>
      <x:c r="O328" s="10" t="str"/>
      <x:c r="P328" s="7" t="n">
        <x:f>IF(LEN(N328)&gt;0,1,0)</x:f>
        <x:v>0</x:v>
      </x:c>
    </x:row>
    <x:row r="329" ht="47.25" customHeight="1">
      <x:c r="A329" s="8" t="str">
        <x:v>TC-NFR-14-B</x:v>
      </x:c>
      <x:c r="B329" s="8" t="str">
        <x:v>NFR-14</x:v>
      </x:c>
      <x:c r="C329" s="8" t="str">
        <x:v>QR-14</x:v>
      </x:c>
      <x:c r="D329" s="8" t="str">
        <x:v>Usability and training burden adverse condition</x:v>
      </x:c>
      <x:c r="E329" s="8" t="str">
        <x:v>Negative or recovery</x:v>
      </x:c>
      <x:c r="F329" s="8" t="str">
        <x:v>Must</x:v>
      </x:c>
      <x:c r="G329" s="8" t="str">
        <x:v>R1</x:v>
      </x:c>
      <x:c r="H329" s="8" t="str">
        <x:v>FX-NFR-14-NEG</x:v>
      </x:c>
      <x:c r="I329" s="8" t="str">
        <x:v>Isolated synthetic tenant; begin from the corresponding acceptance scenario; inject only the named adverse condition.</x:v>
      </x:c>
      <x:c r="J329" s="8" t="str">
        <x:v>1. Establish the normal precondition. 2. Include error recovery and device-unfamiliar participants; disclose subgroup failure rather than aggregate it away. 3. Inspect user state, side effects, audit and any recovery queue.</x:v>
      </x:c>
      <x:c r="K329" s="8" t="str">
        <x:v>Include error recovery and device-unfamiliar participants; disclose subgroup failure rather than aggregate it away. Evidence must show the actual final state and any accountable unresolved work.</x:v>
      </x:c>
      <x:c r="L329" s="10" t="str">
        <x:v>Not run</x:v>
      </x:c>
      <x:c r="M329" s="10" t="str">
        <x:v>QA with engineering owner</x:v>
      </x:c>
      <x:c r="N329" s="10" t="str"/>
      <x:c r="O329" s="10" t="str"/>
      <x:c r="P329" s="8" t="n">
        <x:f>IF(LEN(N329)&gt;0,1,0)</x:f>
        <x:v>0</x:v>
      </x:c>
    </x:row>
    <x:row r="330" ht="47.25" customHeight="1">
      <x:c r="A330" s="7" t="str">
        <x:v>TC-NFR-15-A</x:v>
      </x:c>
      <x:c r="B330" s="7" t="str">
        <x:v>NFR-15</x:v>
      </x:c>
      <x:c r="C330" s="7" t="str">
        <x:v>QR-15</x:v>
      </x:c>
      <x:c r="D330" s="7" t="str">
        <x:v>Language quality acceptance</x:v>
      </x:c>
      <x:c r="E330" s="7" t="str">
        <x:v>Performance or control</x:v>
      </x:c>
      <x:c r="F330" s="7" t="str">
        <x:v>Must</x:v>
      </x:c>
      <x:c r="G330" s="7" t="str">
        <x:v>R1</x:v>
      </x:c>
      <x:c r="H330" s="7" t="str">
        <x:v>FX-NFR-15</x:v>
      </x:c>
      <x:c r="I330" s="7" t="str">
        <x:v>Synthetic tenant A; verified actor with intended scope; relevant pack and connector test profile active; reset fixture before execution.</x:v>
      </x:c>
      <x:c r="J330" s="7" t="str">
        <x:v>1. Load FX-NFR-15. 2. Use reviewed language fixtures for clinical negation units dates names and mixed-language speech. 3. Capture UI/API results and stored receipt or audit evidence.</x:v>
      </x:c>
      <x:c r="K330" s="7" t="str">
        <x:v>Reviewers accept the language corpus, and all safety-critical benchmark cases meet the approved pass criteria.</x:v>
      </x:c>
      <x:c r="L330" s="10" t="str">
        <x:v>Not run</x:v>
      </x:c>
      <x:c r="M330" s="10" t="str">
        <x:v>QA with engineering owner</x:v>
      </x:c>
      <x:c r="N330" s="10" t="str"/>
      <x:c r="O330" s="10" t="str"/>
      <x:c r="P330" s="7" t="n">
        <x:f>IF(LEN(N330)&gt;0,1,0)</x:f>
        <x:v>0</x:v>
      </x:c>
    </x:row>
    <x:row r="331" ht="47.25" customHeight="1">
      <x:c r="A331" s="8" t="str">
        <x:v>TC-NFR-15-B</x:v>
      </x:c>
      <x:c r="B331" s="8" t="str">
        <x:v>NFR-15</x:v>
      </x:c>
      <x:c r="C331" s="8" t="str">
        <x:v>QR-15</x:v>
      </x:c>
      <x:c r="D331" s="8" t="str">
        <x:v>Language quality adverse condition</x:v>
      </x:c>
      <x:c r="E331" s="8" t="str">
        <x:v>Negative or recovery</x:v>
      </x:c>
      <x:c r="F331" s="8" t="str">
        <x:v>Must</x:v>
      </x:c>
      <x:c r="G331" s="8" t="str">
        <x:v>R1</x:v>
      </x:c>
      <x:c r="H331" s="8" t="str">
        <x:v>FX-NFR-15-NEG</x:v>
      </x:c>
      <x:c r="I331" s="8" t="str">
        <x:v>Isolated synthetic tenant; begin from the corresponding acceptance scenario; inject only the named adverse condition.</x:v>
      </x:c>
      <x:c r="J331" s="8" t="str">
        <x:v>1. Establish the normal precondition. 2. Translate a safety-critical string incorrectly; block that language workflow until corrected. 3. Inspect user state, side effects, audit and any recovery queue.</x:v>
      </x:c>
      <x:c r="K331" s="8" t="str">
        <x:v>Translate a safety-critical string incorrectly; block that language workflow until corrected. Evidence must show the actual final state and any accountable unresolved work.</x:v>
      </x:c>
      <x:c r="L331" s="10" t="str">
        <x:v>Not run</x:v>
      </x:c>
      <x:c r="M331" s="10" t="str">
        <x:v>QA with engineering owner</x:v>
      </x:c>
      <x:c r="N331" s="10" t="str"/>
      <x:c r="O331" s="10" t="str"/>
      <x:c r="P331" s="8" t="n">
        <x:f>IF(LEN(N331)&gt;0,1,0)</x:f>
        <x:v>0</x:v>
      </x:c>
    </x:row>
    <x:row r="332" ht="47.25" customHeight="1">
      <x:c r="A332" s="7" t="str">
        <x:v>TC-NFR-16-A</x:v>
      </x:c>
      <x:c r="B332" s="7" t="str">
        <x:v>NFR-16</x:v>
      </x:c>
      <x:c r="C332" s="7" t="str">
        <x:v>QR-16</x:v>
      </x:c>
      <x:c r="D332" s="7" t="str">
        <x:v>AI extraction quality acceptance</x:v>
      </x:c>
      <x:c r="E332" s="7" t="str">
        <x:v>Performance or control</x:v>
      </x:c>
      <x:c r="F332" s="7" t="str">
        <x:v>Must</x:v>
      </x:c>
      <x:c r="G332" s="7" t="str">
        <x:v>R1</x:v>
      </x:c>
      <x:c r="H332" s="7" t="str">
        <x:v>FX-NFR-16</x:v>
      </x:c>
      <x:c r="I332" s="7" t="str">
        <x:v>Synthetic tenant A; verified actor with intended scope; relevant pack and connector test profile active; reset fixture before execution.</x:v>
      </x:c>
      <x:c r="J332" s="7" t="str">
        <x:v>1. Load FX-NFR-16. 2. Measure precision and recall on an independently annotated representative administrative extraction set; report missingness and corrections. 3. Capture UI/API results and stored receipt or audit evidence.</x:v>
      </x:c>
      <x:c r="K332" s="7" t="str">
        <x:v>Report field-level errors, language and noise subgroups, missingness and correction burden against a versioned test set.</x:v>
      </x:c>
      <x:c r="L332" s="10" t="str">
        <x:v>Not run</x:v>
      </x:c>
      <x:c r="M332" s="10" t="str">
        <x:v>QA with engineering owner</x:v>
      </x:c>
      <x:c r="N332" s="10" t="str"/>
      <x:c r="O332" s="10" t="str"/>
      <x:c r="P332" s="7" t="n">
        <x:f>IF(LEN(N332)&gt;0,1,0)</x:f>
        <x:v>0</x:v>
      </x:c>
    </x:row>
    <x:row r="333" ht="47.25" customHeight="1">
      <x:c r="A333" s="8" t="str">
        <x:v>TC-NFR-16-B</x:v>
      </x:c>
      <x:c r="B333" s="8" t="str">
        <x:v>NFR-16</x:v>
      </x:c>
      <x:c r="C333" s="8" t="str">
        <x:v>QR-16</x:v>
      </x:c>
      <x:c r="D333" s="8" t="str">
        <x:v>AI extraction quality adverse condition</x:v>
      </x:c>
      <x:c r="E333" s="8" t="str">
        <x:v>Negative or recovery</x:v>
      </x:c>
      <x:c r="F333" s="8" t="str">
        <x:v>Must</x:v>
      </x:c>
      <x:c r="G333" s="8" t="str">
        <x:v>R1</x:v>
      </x:c>
      <x:c r="H333" s="8" t="str">
        <x:v>FX-NFR-16-NEG</x:v>
      </x:c>
      <x:c r="I333" s="8" t="str">
        <x:v>Isolated synthetic tenant; begin from the corresponding acceptance scenario; inject only the named adverse condition.</x:v>
      </x:c>
      <x:c r="J333" s="8" t="str">
        <x:v>1. Establish the normal precondition. 2. Run ambiguous clinical fields; require confirmation regardless of extraction confidence. 3. Inspect user state, side effects, audit and any recovery queue.</x:v>
      </x:c>
      <x:c r="K333" s="8" t="str">
        <x:v>Run ambiguous clinical fields; require confirmation regardless of extraction confidence. Evidence must show the actual final state and any accountable unresolved work.</x:v>
      </x:c>
      <x:c r="L333" s="10" t="str">
        <x:v>Not run</x:v>
      </x:c>
      <x:c r="M333" s="10" t="str">
        <x:v>QA with engineering owner</x:v>
      </x:c>
      <x:c r="N333" s="10" t="str"/>
      <x:c r="O333" s="10" t="str"/>
      <x:c r="P333" s="8" t="n">
        <x:f>IF(LEN(N333)&gt;0,1,0)</x:f>
        <x:v>0</x:v>
      </x:c>
    </x:row>
    <x:row r="334" ht="47.25" customHeight="1">
      <x:c r="A334" s="7" t="str">
        <x:v>TC-NFR-17-A</x:v>
      </x:c>
      <x:c r="B334" s="7" t="str">
        <x:v>NFR-17</x:v>
      </x:c>
      <x:c r="C334" s="7" t="str">
        <x:v>QR-17</x:v>
      </x:c>
      <x:c r="D334" s="7" t="str">
        <x:v>Clinical and agent safety evaluation acceptance</x:v>
      </x:c>
      <x:c r="E334" s="7" t="str">
        <x:v>Performance or control</x:v>
      </x:c>
      <x:c r="F334" s="7" t="str">
        <x:v>Must</x:v>
      </x:c>
      <x:c r="G334" s="7" t="str">
        <x:v>R1</x:v>
      </x:c>
      <x:c r="H334" s="7" t="str">
        <x:v>FX-NFR-17</x:v>
      </x:c>
      <x:c r="I334" s="7" t="str">
        <x:v>Synthetic tenant A; verified actor with intended scope; relevant pack and connector test profile active; reset fixture before execution.</x:v>
      </x:c>
      <x:c r="J334" s="7" t="str">
        <x:v>1. Load FX-NFR-17. 2. Execute approved wrong-patient, role-boundary, emergency, unsupported-use and prompt-injection scenarios. 3. Capture UI/API results and stored receipt or audit evidence.</x:v>
      </x:c>
      <x:c r="K334" s="7" t="str">
        <x:v>Named reviewers sign the results and link every unresolved lower-severity issue to an owner and disposition.</x:v>
      </x:c>
      <x:c r="L334" s="10" t="str">
        <x:v>Not run</x:v>
      </x:c>
      <x:c r="M334" s="10" t="str">
        <x:v>QA with engineering owner</x:v>
      </x:c>
      <x:c r="N334" s="10" t="str"/>
      <x:c r="O334" s="10" t="str"/>
      <x:c r="P334" s="7" t="n">
        <x:f>IF(LEN(N334)&gt;0,1,0)</x:f>
        <x:v>0</x:v>
      </x:c>
    </x:row>
    <x:row r="335" ht="47.25" customHeight="1">
      <x:c r="A335" s="8" t="str">
        <x:v>TC-NFR-17-B</x:v>
      </x:c>
      <x:c r="B335" s="8" t="str">
        <x:v>NFR-17</x:v>
      </x:c>
      <x:c r="C335" s="8" t="str">
        <x:v>QR-17</x:v>
      </x:c>
      <x:c r="D335" s="8" t="str">
        <x:v>Clinical and agent safety evaluation adverse condition</x:v>
      </x:c>
      <x:c r="E335" s="8" t="str">
        <x:v>Negative or recovery</x:v>
      </x:c>
      <x:c r="F335" s="8" t="str">
        <x:v>Must</x:v>
      </x:c>
      <x:c r="G335" s="8" t="str">
        <x:v>R1</x:v>
      </x:c>
      <x:c r="H335" s="8" t="str">
        <x:v>FX-NFR-17-NEG</x:v>
      </x:c>
      <x:c r="I335" s="8" t="str">
        <x:v>Isolated synthetic tenant; begin from the corresponding acceptance scenario; inject only the named adverse condition.</x:v>
      </x:c>
      <x:c r="J335" s="8" t="str">
        <x:v>1. Establish the normal precondition. 2. Retain one release-blocking safety failure; production gate remains closed. 3. Inspect user state, side effects, audit and any recovery queue.</x:v>
      </x:c>
      <x:c r="K335" s="8" t="str">
        <x:v>Retain one release-blocking safety failure; production gate remains closed. Evidence must show the actual final state and any accountable unresolved work.</x:v>
      </x:c>
      <x:c r="L335" s="10" t="str">
        <x:v>Not run</x:v>
      </x:c>
      <x:c r="M335" s="10" t="str">
        <x:v>QA with engineering owner</x:v>
      </x:c>
      <x:c r="N335" s="10" t="str"/>
      <x:c r="O335" s="10" t="str"/>
      <x:c r="P335" s="8" t="n">
        <x:f>IF(LEN(N335)&gt;0,1,0)</x:f>
        <x:v>0</x:v>
      </x:c>
    </x:row>
    <x:row r="336" ht="47.25" customHeight="1">
      <x:c r="A336" s="7" t="str">
        <x:v>TC-NFR-18-A</x:v>
      </x:c>
      <x:c r="B336" s="7" t="str">
        <x:v>NFR-18</x:v>
      </x:c>
      <x:c r="C336" s="7" t="str">
        <x:v>QR-18</x:v>
      </x:c>
      <x:c r="D336" s="7" t="str">
        <x:v>Operational observability acceptance</x:v>
      </x:c>
      <x:c r="E336" s="7" t="str">
        <x:v>Performance or control</x:v>
      </x:c>
      <x:c r="F336" s="7" t="str">
        <x:v>Must</x:v>
      </x:c>
      <x:c r="G336" s="7" t="str">
        <x:v>R1</x:v>
      </x:c>
      <x:c r="H336" s="7" t="str">
        <x:v>FX-NFR-18</x:v>
      </x:c>
      <x:c r="I336" s="7" t="str">
        <x:v>Synthetic tenant A; verified actor with intended scope; relevant pack and connector test profile active; reset fixture before execution.</x:v>
      </x:c>
      <x:c r="J336" s="7" t="str">
        <x:v>1. Load FX-NFR-18. 2. Seed provider failure queue stall and permission error events and time delivery to the correct accountable alert queue. 3. Capture UI/API results and stored receipt or audit evidence.</x:v>
      </x:c>
      <x:c r="K336" s="7" t="str">
        <x:v>Induced failures reach the correct queue and permit reconstruction using redacted diagnostic data.</x:v>
      </x:c>
      <x:c r="L336" s="10" t="str">
        <x:v>Not run</x:v>
      </x:c>
      <x:c r="M336" s="10" t="str">
        <x:v>QA with engineering owner</x:v>
      </x:c>
      <x:c r="N336" s="10" t="str"/>
      <x:c r="O336" s="10" t="str"/>
      <x:c r="P336" s="7" t="n">
        <x:f>IF(LEN(N336)&gt;0,1,0)</x:f>
        <x:v>0</x:v>
      </x:c>
    </x:row>
    <x:row r="337" ht="47.25" customHeight="1">
      <x:c r="A337" s="8" t="str">
        <x:v>TC-NFR-18-B</x:v>
      </x:c>
      <x:c r="B337" s="8" t="str">
        <x:v>NFR-18</x:v>
      </x:c>
      <x:c r="C337" s="8" t="str">
        <x:v>QR-18</x:v>
      </x:c>
      <x:c r="D337" s="8" t="str">
        <x:v>Operational observability adverse condition</x:v>
      </x:c>
      <x:c r="E337" s="8" t="str">
        <x:v>Negative or recovery</x:v>
      </x:c>
      <x:c r="F337" s="8" t="str">
        <x:v>Must</x:v>
      </x:c>
      <x:c r="G337" s="8" t="str">
        <x:v>R1</x:v>
      </x:c>
      <x:c r="H337" s="8" t="str">
        <x:v>FX-NFR-18-NEG</x:v>
      </x:c>
      <x:c r="I337" s="8" t="str">
        <x:v>Isolated synthetic tenant; begin from the corresponding acceptance scenario; inject only the named adverse condition.</x:v>
      </x:c>
      <x:c r="J337" s="8" t="str">
        <x:v>1. Establish the normal precondition. 2. Disable one telemetry collector; surface the observability gap rather than report healthy service. 3. Inspect user state, side effects, audit and any recovery queue.</x:v>
      </x:c>
      <x:c r="K337" s="8" t="str">
        <x:v>Disable one telemetry collector; surface the observability gap rather than report healthy service. Evidence must show the actual final state and any accountable unresolved work.</x:v>
      </x:c>
      <x:c r="L337" s="10" t="str">
        <x:v>Not run</x:v>
      </x:c>
      <x:c r="M337" s="10" t="str">
        <x:v>QA with engineering owner</x:v>
      </x:c>
      <x:c r="N337" s="10" t="str"/>
      <x:c r="O337" s="10" t="str"/>
      <x:c r="P337" s="8" t="n">
        <x:f>IF(LEN(N337)&gt;0,1,0)</x:f>
        <x:v>0</x:v>
      </x:c>
    </x:row>
    <x:row r="338" ht="47.25" customHeight="1">
      <x:c r="A338" s="7" t="str">
        <x:v>TC-NFR-19-A</x:v>
      </x:c>
      <x:c r="B338" s="7" t="str">
        <x:v>NFR-19</x:v>
      </x:c>
      <x:c r="C338" s="7" t="str">
        <x:v>QR-19</x:v>
      </x:c>
      <x:c r="D338" s="7" t="str">
        <x:v>Maintainable configuration acceptance</x:v>
      </x:c>
      <x:c r="E338" s="7" t="str">
        <x:v>Performance or control</x:v>
      </x:c>
      <x:c r="F338" s="7" t="str">
        <x:v>Must</x:v>
      </x:c>
      <x:c r="G338" s="7" t="str">
        <x:v>R1</x:v>
      </x:c>
      <x:c r="H338" s="7" t="str">
        <x:v>FX-NFR-19</x:v>
      </x:c>
      <x:c r="I338" s="7" t="str">
        <x:v>Synthetic tenant A; verified actor with intended scope; relevant pack and connector test profile active; reset fixture before execution.</x:v>
      </x:c>
      <x:c r="J338" s="7" t="str">
        <x:v>1. Load FX-NFR-19. 2. Publish and roll back a real versioned configuration change through the release workflow. 3. Capture UI/API results and stored receipt or audit evidence.</x:v>
      </x:c>
      <x:c r="K338" s="7" t="str">
        <x:v>A programme change is reviewed, tested, deployed and rolled back through the documented operating process.</x:v>
      </x:c>
      <x:c r="L338" s="10" t="str">
        <x:v>Not run</x:v>
      </x:c>
      <x:c r="M338" s="10" t="str">
        <x:v>QA with engineering owner</x:v>
      </x:c>
      <x:c r="N338" s="10" t="str"/>
      <x:c r="O338" s="10" t="str"/>
      <x:c r="P338" s="7" t="n">
        <x:f>IF(LEN(N338)&gt;0,1,0)</x:f>
        <x:v>0</x:v>
      </x:c>
    </x:row>
    <x:row r="339" ht="47.25" customHeight="1">
      <x:c r="A339" s="8" t="str">
        <x:v>TC-NFR-19-B</x:v>
      </x:c>
      <x:c r="B339" s="8" t="str">
        <x:v>NFR-19</x:v>
      </x:c>
      <x:c r="C339" s="8" t="str">
        <x:v>QR-19</x:v>
      </x:c>
      <x:c r="D339" s="8" t="str">
        <x:v>Maintainable configuration adverse condition</x:v>
      </x:c>
      <x:c r="E339" s="8" t="str">
        <x:v>Negative or recovery</x:v>
      </x:c>
      <x:c r="F339" s="8" t="str">
        <x:v>Must</x:v>
      </x:c>
      <x:c r="G339" s="8" t="str">
        <x:v>R1</x:v>
      </x:c>
      <x:c r="H339" s="8" t="str">
        <x:v>FX-NFR-19-NEG</x:v>
      </x:c>
      <x:c r="I339" s="8" t="str">
        <x:v>Isolated synthetic tenant; begin from the corresponding acceptance scenario; inject only the named adverse condition.</x:v>
      </x:c>
      <x:c r="J339" s="8" t="str">
        <x:v>1. Establish the normal precondition. 2. Apply an undocumented direct database change; flag drift and block release attestation. 3. Inspect user state, side effects, audit and any recovery queue.</x:v>
      </x:c>
      <x:c r="K339" s="8" t="str">
        <x:v>Apply an undocumented direct database change; flag drift and block release attestation. Evidence must show the actual final state and any accountable unresolved work.</x:v>
      </x:c>
      <x:c r="L339" s="10" t="str">
        <x:v>Not run</x:v>
      </x:c>
      <x:c r="M339" s="10" t="str">
        <x:v>QA with engineering owner</x:v>
      </x:c>
      <x:c r="N339" s="10" t="str"/>
      <x:c r="O339" s="10" t="str"/>
      <x:c r="P339" s="8" t="n">
        <x:f>IF(LEN(N339)&gt;0,1,0)</x:f>
        <x:v>0</x:v>
      </x:c>
    </x:row>
    <x:row r="340" ht="47.25" customHeight="1">
      <x:c r="A340" s="7" t="str">
        <x:v>TC-NFR-20-A</x:v>
      </x:c>
      <x:c r="B340" s="7" t="str">
        <x:v>NFR-20</x:v>
      </x:c>
      <x:c r="C340" s="7" t="str">
        <x:v>QR-20</x:v>
      </x:c>
      <x:c r="D340" s="7" t="str">
        <x:v>Integration conformance acceptance</x:v>
      </x:c>
      <x:c r="E340" s="7" t="str">
        <x:v>Performance or control</x:v>
      </x:c>
      <x:c r="F340" s="7" t="str">
        <x:v>Must</x:v>
      </x:c>
      <x:c r="G340" s="7" t="str">
        <x:v>R1</x:v>
      </x:c>
      <x:c r="H340" s="7" t="str">
        <x:v>FX-NFR-20</x:v>
      </x:c>
      <x:c r="I340" s="7" t="str">
        <x:v>Synthetic tenant A; verified actor with intended scope; relevant pack and connector test profile active; reset fixture before execution.</x:v>
      </x:c>
      <x:c r="J340" s="7" t="str">
        <x:v>1. Load FX-NFR-20. 2. Run owner-agreed positive and negative connector contracts with pinned schemas and exact external environment evidence. 3. Capture UI/API results and stored receipt or audit evidence.</x:v>
      </x:c>
      <x:c r="K340" s="7" t="str">
        <x:v>Test results are linked to the exact deployed connector, mapping and provider versions.</x:v>
      </x:c>
      <x:c r="L340" s="10" t="str">
        <x:v>Not run</x:v>
      </x:c>
      <x:c r="M340" s="10" t="str">
        <x:v>QA with engineering owner</x:v>
      </x:c>
      <x:c r="N340" s="10" t="str"/>
      <x:c r="O340" s="10" t="str"/>
      <x:c r="P340" s="7" t="n">
        <x:f>IF(LEN(N340)&gt;0,1,0)</x:f>
        <x:v>0</x:v>
      </x:c>
    </x:row>
    <x:row r="341" ht="47.25" customHeight="1">
      <x:c r="A341" s="8" t="str">
        <x:v>TC-NFR-20-B</x:v>
      </x:c>
      <x:c r="B341" s="8" t="str">
        <x:v>NFR-20</x:v>
      </x:c>
      <x:c r="C341" s="8" t="str">
        <x:v>QR-20</x:v>
      </x:c>
      <x:c r="D341" s="8" t="str">
        <x:v>Integration conformance adverse condition</x:v>
      </x:c>
      <x:c r="E341" s="8" t="str">
        <x:v>Negative or recovery</x:v>
      </x:c>
      <x:c r="F341" s="8" t="str">
        <x:v>Must</x:v>
      </x:c>
      <x:c r="G341" s="8" t="str">
        <x:v>R1</x:v>
      </x:c>
      <x:c r="H341" s="8" t="str">
        <x:v>FX-NFR-20-NEG</x:v>
      </x:c>
      <x:c r="I341" s="8" t="str">
        <x:v>Isolated synthetic tenant; begin from the corresponding acceptance scenario; inject only the named adverse condition.</x:v>
      </x:c>
      <x:c r="J341" s="8" t="str">
        <x:v>1. Establish the normal precondition. 2. Pass local mocks only; live integration conformance remains unverified. 3. Inspect user state, side effects, audit and any recovery queue.</x:v>
      </x:c>
      <x:c r="K341" s="8" t="str">
        <x:v>Pass local mocks only; live integration conformance remains unverified. Evidence must show the actual final state and any accountable unresolved work.</x:v>
      </x:c>
      <x:c r="L341" s="10" t="str">
        <x:v>Not run</x:v>
      </x:c>
      <x:c r="M341" s="10" t="str">
        <x:v>QA with engineering owner</x:v>
      </x:c>
      <x:c r="N341" s="10" t="str"/>
      <x:c r="O341" s="10" t="str"/>
      <x:c r="P341" s="8" t="n">
        <x:f>IF(LEN(N341)&gt;0,1,0)</x:f>
        <x:v>0</x:v>
      </x:c>
    </x:row>
    <x:row r="342" ht="47.25" customHeight="1">
      <x:c r="A342" s="7" t="str">
        <x:v>TC-NFR-21-A</x:v>
      </x:c>
      <x:c r="B342" s="7" t="str">
        <x:v>NFR-21</x:v>
      </x:c>
      <x:c r="C342" s="7" t="str">
        <x:v>QR-21</x:v>
      </x:c>
      <x:c r="D342" s="7" t="str">
        <x:v>Cost transparency acceptance</x:v>
      </x:c>
      <x:c r="E342" s="7" t="str">
        <x:v>Performance or control</x:v>
      </x:c>
      <x:c r="F342" s="7" t="str">
        <x:v>Must</x:v>
      </x:c>
      <x:c r="G342" s="7" t="str">
        <x:v>R1</x:v>
      </x:c>
      <x:c r="H342" s="7" t="str">
        <x:v>FX-NFR-21</x:v>
      </x:c>
      <x:c r="I342" s="7" t="str">
        <x:v>Synthetic tenant A; verified actor with intended scope; relevant pack and connector test profile active; reset fixture before execution.</x:v>
      </x:c>
      <x:c r="J342" s="7" t="str">
        <x:v>1. Load FX-NFR-21. 2. Reconcile usage events against provider invoices or test billing records by tenant capability and task. 3. Capture UI/API results and stored receipt or audit evidence.</x:v>
      </x:c>
      <x:c r="K342" s="7" t="str">
        <x:v>Usage records reconcile with provider invoices or test billing evidence; unexplained variance is investigated.</x:v>
      </x:c>
      <x:c r="L342" s="10" t="str">
        <x:v>Not run</x:v>
      </x:c>
      <x:c r="M342" s="10" t="str">
        <x:v>QA with engineering owner</x:v>
      </x:c>
      <x:c r="N342" s="10" t="str"/>
      <x:c r="O342" s="10" t="str"/>
      <x:c r="P342" s="7" t="n">
        <x:f>IF(LEN(N342)&gt;0,1,0)</x:f>
        <x:v>0</x:v>
      </x:c>
    </x:row>
    <x:row r="343" ht="47.25" customHeight="1">
      <x:c r="A343" s="8" t="str">
        <x:v>TC-NFR-21-B</x:v>
      </x:c>
      <x:c r="B343" s="8" t="str">
        <x:v>NFR-21</x:v>
      </x:c>
      <x:c r="C343" s="8" t="str">
        <x:v>QR-21</x:v>
      </x:c>
      <x:c r="D343" s="8" t="str">
        <x:v>Cost transparency adverse condition</x:v>
      </x:c>
      <x:c r="E343" s="8" t="str">
        <x:v>Negative or recovery</x:v>
      </x:c>
      <x:c r="F343" s="8" t="str">
        <x:v>Must</x:v>
      </x:c>
      <x:c r="G343" s="8" t="str">
        <x:v>R1</x:v>
      </x:c>
      <x:c r="H343" s="8" t="str">
        <x:v>FX-NFR-21-NEG</x:v>
      </x:c>
      <x:c r="I343" s="8" t="str">
        <x:v>Isolated synthetic tenant; begin from the corresponding acceptance scenario; inject only the named adverse condition.</x:v>
      </x:c>
      <x:c r="J343" s="8" t="str">
        <x:v>1. Establish the normal precondition. 2. Introduce a duplicate charge or missing attribution; report the discrepancy. 3. Inspect user state, side effects, audit and any recovery queue.</x:v>
      </x:c>
      <x:c r="K343" s="8" t="str">
        <x:v>Introduce a duplicate charge or missing attribution; report the discrepancy. Evidence must show the actual final state and any accountable unresolved work.</x:v>
      </x:c>
      <x:c r="L343" s="10" t="str">
        <x:v>Not run</x:v>
      </x:c>
      <x:c r="M343" s="10" t="str">
        <x:v>QA with engineering owner</x:v>
      </x:c>
      <x:c r="N343" s="10" t="str"/>
      <x:c r="O343" s="10" t="str"/>
      <x:c r="P343" s="8" t="n">
        <x:f>IF(LEN(N343)&gt;0,1,0)</x:f>
        <x:v>0</x:v>
      </x:c>
    </x:row>
    <x:row r="344" ht="47.25" customHeight="1">
      <x:c r="A344" s="7" t="str">
        <x:v>TC-NFR-22-A</x:v>
      </x:c>
      <x:c r="B344" s="7" t="str">
        <x:v>NFR-22</x:v>
      </x:c>
      <x:c r="C344" s="7" t="str">
        <x:v>QR-22</x:v>
      </x:c>
      <x:c r="D344" s="7" t="str">
        <x:v>Data portability and export integrity acceptance</x:v>
      </x:c>
      <x:c r="E344" s="7" t="str">
        <x:v>Performance or control</x:v>
      </x:c>
      <x:c r="F344" s="7" t="str">
        <x:v>Must</x:v>
      </x:c>
      <x:c r="G344" s="7" t="str">
        <x:v>R1</x:v>
      </x:c>
      <x:c r="H344" s="7" t="str">
        <x:v>FX-NFR-22</x:v>
      </x:c>
      <x:c r="I344" s="7" t="str">
        <x:v>Synthetic tenant A; verified actor with intended scope; relevant pack and connector test profile active; reset fixture before execution.</x:v>
      </x:c>
      <x:c r="J344" s="7" t="str">
        <x:v>1. Load FX-NFR-22. 2. Export and reimport 1000 synthetic persons with relationships units provenance and revision history; reconcile counts and references. 3. Capture UI/API results and stored receipt or audit evidence.</x:v>
      </x:c>
      <x:c r="K344" s="7" t="str">
        <x:v>A 1000-person test export is re-imported into a validation environment with complete record counts and relationships.</x:v>
      </x:c>
      <x:c r="L344" s="10" t="str">
        <x:v>Not run</x:v>
      </x:c>
      <x:c r="M344" s="10" t="str">
        <x:v>QA with engineering owner</x:v>
      </x:c>
      <x:c r="N344" s="10" t="str"/>
      <x:c r="O344" s="10" t="str"/>
      <x:c r="P344" s="7" t="n">
        <x:f>IF(LEN(N344)&gt;0,1,0)</x:f>
        <x:v>0</x:v>
      </x:c>
    </x:row>
    <x:row r="345" ht="47.25" customHeight="1">
      <x:c r="A345" s="8" t="str">
        <x:v>TC-NFR-22-B</x:v>
      </x:c>
      <x:c r="B345" s="8" t="str">
        <x:v>NFR-22</x:v>
      </x:c>
      <x:c r="C345" s="8" t="str">
        <x:v>QR-22</x:v>
      </x:c>
      <x:c r="D345" s="8" t="str">
        <x:v>Data portability and export integrity adverse condition</x:v>
      </x:c>
      <x:c r="E345" s="8" t="str">
        <x:v>Negative or recovery</x:v>
      </x:c>
      <x:c r="F345" s="8" t="str">
        <x:v>Must</x:v>
      </x:c>
      <x:c r="G345" s="8" t="str">
        <x:v>R1</x:v>
      </x:c>
      <x:c r="H345" s="8" t="str">
        <x:v>FX-NFR-22-NEG</x:v>
      </x:c>
      <x:c r="I345" s="8" t="str">
        <x:v>Isolated synthetic tenant; begin from the corresponding acceptance scenario; inject only the named adverse condition.</x:v>
      </x:c>
      <x:c r="J345" s="8" t="str">
        <x:v>1. Establish the normal precondition. 2. Omit one relationship or unit code; fail integrity acceptance. 3. Inspect user state, side effects, audit and any recovery queue.</x:v>
      </x:c>
      <x:c r="K345" s="8" t="str">
        <x:v>Omit one relationship or unit code; fail integrity acceptance. Evidence must show the actual final state and any accountable unresolved work.</x:v>
      </x:c>
      <x:c r="L345" s="10" t="str">
        <x:v>Not run</x:v>
      </x:c>
      <x:c r="M345" s="10" t="str">
        <x:v>QA with engineering owner</x:v>
      </x:c>
      <x:c r="N345" s="10" t="str"/>
      <x:c r="O345" s="10" t="str"/>
      <x:c r="P345" s="8" t="n">
        <x:f>IF(LEN(N345)&gt;0,1,0)</x:f>
        <x:v>0</x:v>
      </x:c>
    </x:row>
    <x:row r="346" ht="47.25" customHeight="1">
      <x:c r="A346" s="7" t="str">
        <x:v>TC-NFR-23-A</x:v>
      </x:c>
      <x:c r="B346" s="7" t="str">
        <x:v>NFR-23</x:v>
      </x:c>
      <x:c r="C346" s="7" t="str">
        <x:v>QR-23</x:v>
      </x:c>
      <x:c r="D346" s="7" t="str">
        <x:v>Disaster and downtime readiness acceptance</x:v>
      </x:c>
      <x:c r="E346" s="7" t="str">
        <x:v>Performance or control</x:v>
      </x:c>
      <x:c r="F346" s="7" t="str">
        <x:v>Must</x:v>
      </x:c>
      <x:c r="G346" s="7" t="str">
        <x:v>R1</x:v>
      </x:c>
      <x:c r="H346" s="7" t="str">
        <x:v>FX-NFR-23</x:v>
      </x:c>
      <x:c r="I346" s="7" t="str">
        <x:v>Synthetic tenant A; verified actor with intended scope; relevant pack and connector test profile active; reset fixture before execution.</x:v>
      </x:c>
      <x:c r="J346" s="7" t="str">
        <x:v>1. Load FX-NFR-23. 2. Run a tabletop plus technical outage exercise including lost device failed provider and clinical downtime path. 3. Capture UI/API results and stored receipt or audit evidence.</x:v>
      </x:c>
      <x:c r="K346" s="7" t="str">
        <x:v>Tabletop and technical exercises record actual recovery actions, communication ownership and unresolved gaps.</x:v>
      </x:c>
      <x:c r="L346" s="10" t="str">
        <x:v>Not run</x:v>
      </x:c>
      <x:c r="M346" s="10" t="str">
        <x:v>QA with engineering owner</x:v>
      </x:c>
      <x:c r="N346" s="10" t="str"/>
      <x:c r="O346" s="10" t="str"/>
      <x:c r="P346" s="7" t="n">
        <x:f>IF(LEN(N346)&gt;0,1,0)</x:f>
        <x:v>0</x:v>
      </x:c>
    </x:row>
    <x:row r="347" ht="47.25" customHeight="1">
      <x:c r="A347" s="8" t="str">
        <x:v>TC-NFR-23-B</x:v>
      </x:c>
      <x:c r="B347" s="8" t="str">
        <x:v>NFR-23</x:v>
      </x:c>
      <x:c r="C347" s="8" t="str">
        <x:v>QR-23</x:v>
      </x:c>
      <x:c r="D347" s="8" t="str">
        <x:v>Disaster and downtime readiness adverse condition</x:v>
      </x:c>
      <x:c r="E347" s="8" t="str">
        <x:v>Negative or recovery</x:v>
      </x:c>
      <x:c r="F347" s="8" t="str">
        <x:v>Must</x:v>
      </x:c>
      <x:c r="G347" s="8" t="str">
        <x:v>R1</x:v>
      </x:c>
      <x:c r="H347" s="8" t="str">
        <x:v>FX-NFR-23-NEG</x:v>
      </x:c>
      <x:c r="I347" s="8" t="str">
        <x:v>Isolated synthetic tenant; begin from the corresponding acceptance scenario; inject only the named adverse condition.</x:v>
      </x:c>
      <x:c r="J347" s="8" t="str">
        <x:v>1. Establish the normal precondition. 2. Simulate an unavailable referral service; preserve the local approved escalation route and unresolved owner. 3. Inspect user state, side effects, audit and any recovery queue.</x:v>
      </x:c>
      <x:c r="K347" s="8" t="str">
        <x:v>Simulate an unavailable referral service; preserve the local approved escalation route and unresolved owner. Evidence must show the actual final state and any accountable unresolved work.</x:v>
      </x:c>
      <x:c r="L347" s="10" t="str">
        <x:v>Not run</x:v>
      </x:c>
      <x:c r="M347" s="10" t="str">
        <x:v>QA with engineering owner</x:v>
      </x:c>
      <x:c r="N347" s="10" t="str"/>
      <x:c r="O347" s="10" t="str"/>
      <x:c r="P347" s="8" t="n">
        <x:f>IF(LEN(N347)&gt;0,1,0)</x:f>
        <x:v>0</x:v>
      </x:c>
    </x:row>
    <x:row r="348" ht="47.25" customHeight="1">
      <x:c r="A348" s="7" t="str">
        <x:v>TC-NFR-24-A</x:v>
      </x:c>
      <x:c r="B348" s="7" t="str">
        <x:v>NFR-24</x:v>
      </x:c>
      <x:c r="C348" s="7" t="str">
        <x:v>QR-24</x:v>
      </x:c>
      <x:c r="D348" s="7" t="str">
        <x:v>Scale readiness acceptance</x:v>
      </x:c>
      <x:c r="E348" s="7" t="str">
        <x:v>Performance or control</x:v>
      </x:c>
      <x:c r="F348" s="7" t="str">
        <x:v>Should</x:v>
      </x:c>
      <x:c r="G348" s="7" t="str">
        <x:v>R2</x:v>
      </x:c>
      <x:c r="H348" s="7" t="str">
        <x:v>FX-NFR-24</x:v>
      </x:c>
      <x:c r="I348" s="7" t="str">
        <x:v>Synthetic tenant A; verified actor with intended scope; relevant pack and connector test profile active; reset fixture before execution.</x:v>
      </x:c>
      <x:c r="J348" s="7" t="str">
        <x:v>1. Load FX-NFR-24. 2. Run a separately provisioned R2 load test for proposed 10000 workers and 5 million persons; report infrastructure and costs. 3. Capture UI/API results and stored receipt or audit evidence.</x:v>
      </x:c>
      <x:c r="K348" s="7" t="str">
        <x:v>R2 load, isolation, storage, support and cost tests are run against the agreed production-like topology and volume.</x:v>
      </x:c>
      <x:c r="L348" s="10" t="str">
        <x:v>Not run</x:v>
      </x:c>
      <x:c r="M348" s="10" t="str">
        <x:v>QA with engineering owner</x:v>
      </x:c>
      <x:c r="N348" s="10" t="str"/>
      <x:c r="O348" s="10" t="str"/>
      <x:c r="P348" s="7" t="n">
        <x:f>IF(LEN(N348)&gt;0,1,0)</x:f>
        <x:v>0</x:v>
      </x:c>
    </x:row>
    <x:row r="349" ht="47.25" customHeight="1">
      <x:c r="A349" s="8" t="str">
        <x:v>TC-NFR-24-B</x:v>
      </x:c>
      <x:c r="B349" s="8" t="str">
        <x:v>NFR-24</x:v>
      </x:c>
      <x:c r="C349" s="8" t="str">
        <x:v>QR-24</x:v>
      </x:c>
      <x:c r="D349" s="8" t="str">
        <x:v>Scale readiness adverse condition</x:v>
      </x:c>
      <x:c r="E349" s="8" t="str">
        <x:v>Negative or recovery</x:v>
      </x:c>
      <x:c r="F349" s="8" t="str">
        <x:v>Should</x:v>
      </x:c>
      <x:c r="G349" s="8" t="str">
        <x:v>R2</x:v>
      </x:c>
      <x:c r="H349" s="8" t="str">
        <x:v>FX-NFR-24-NEG</x:v>
      </x:c>
      <x:c r="I349" s="8" t="str">
        <x:v>Isolated synthetic tenant; begin from the corresponding acceptance scenario; inject only the named adverse condition.</x:v>
      </x:c>
      <x:c r="J349" s="8" t="str">
        <x:v>1. Establish the normal precondition. 2. Extrapolate R1 latency without an R2 run; do not mark scale readiness passed. 3. Inspect user state, side effects, audit and any recovery queue.</x:v>
      </x:c>
      <x:c r="K349" s="8" t="str">
        <x:v>Extrapolate R1 latency without an R2 run; do not mark scale readiness passed. Evidence must show the actual final state and any accountable unresolved work.</x:v>
      </x:c>
      <x:c r="L349" s="10" t="str">
        <x:v>Not run</x:v>
      </x:c>
      <x:c r="M349" s="10" t="str">
        <x:v>QA with engineering owner</x:v>
      </x:c>
      <x:c r="N349" s="10" t="str"/>
      <x:c r="O349" s="10" t="str"/>
      <x:c r="P349" s="8" t="n">
        <x:f>IF(LEN(N349)&gt;0,1,0)</x:f>
        <x:v>0</x:v>
      </x:c>
    </x:row>
    <x:row r="350" ht="47.25" customHeight="1">
      <x:c r="A350" s="7" t="str">
        <x:v>TC-NFR-25-A</x:v>
      </x:c>
      <x:c r="B350" s="7" t="str">
        <x:v>NFR-25</x:v>
      </x:c>
      <x:c r="C350" s="7" t="str">
        <x:v>QR-25</x:v>
      </x:c>
      <x:c r="D350" s="7" t="str">
        <x:v>Clinical exchange validation acceptance</x:v>
      </x:c>
      <x:c r="E350" s="7" t="str">
        <x:v>Performance or control</x:v>
      </x:c>
      <x:c r="F350" s="7" t="str">
        <x:v>Must</x:v>
      </x:c>
      <x:c r="G350" s="7" t="str">
        <x:v>R1</x:v>
      </x:c>
      <x:c r="H350" s="7" t="str">
        <x:v>FX-NFR-25</x:v>
      </x:c>
      <x:c r="I350" s="7" t="str">
        <x:v>Synthetic tenant A; verified actor with intended scope; relevant pack and connector test profile active; reset fixture before execution.</x:v>
      </x:c>
      <x:c r="J350" s="7" t="str">
        <x:v>1. Load FX-NFR-25. 2. Validate every supported outbound artefact against the pinned profile terminology and business-rule suite. 3. Capture UI/API results and stored receipt or audit evidence.</x:v>
      </x:c>
      <x:c r="K350" s="7" t="str">
        <x:v>Verification: The release corpus covers every supported artefact and includes invalid cardinality, code, reference, unit, signature and bundle cases.</x:v>
      </x:c>
      <x:c r="L350" s="10" t="str">
        <x:v>Not run</x:v>
      </x:c>
      <x:c r="M350" s="10" t="str">
        <x:v>QA with engineering owner</x:v>
      </x:c>
      <x:c r="N350" s="10" t="str"/>
      <x:c r="O350" s="10" t="str"/>
      <x:c r="P350" s="7" t="n">
        <x:f>IF(LEN(N350)&gt;0,1,0)</x:f>
        <x:v>0</x:v>
      </x:c>
    </x:row>
    <x:row r="351" ht="47.25" customHeight="1">
      <x:c r="A351" s="8" t="str">
        <x:v>TC-NFR-25-B</x:v>
      </x:c>
      <x:c r="B351" s="8" t="str">
        <x:v>NFR-25</x:v>
      </x:c>
      <x:c r="C351" s="8" t="str">
        <x:v>QR-25</x:v>
      </x:c>
      <x:c r="D351" s="8" t="str">
        <x:v>Clinical exchange validation adverse condition</x:v>
      </x:c>
      <x:c r="E351" s="8" t="str">
        <x:v>Negative or recovery</x:v>
      </x:c>
      <x:c r="F351" s="8" t="str">
        <x:v>Must</x:v>
      </x:c>
      <x:c r="G351" s="8" t="str">
        <x:v>R1</x:v>
      </x:c>
      <x:c r="H351" s="8" t="str">
        <x:v>FX-NFR-25-NEG</x:v>
      </x:c>
      <x:c r="I351" s="8" t="str">
        <x:v>Isolated synthetic tenant; begin from the corresponding acceptance scenario; inject only the named adverse condition.</x:v>
      </x:c>
      <x:c r="J351" s="8" t="str">
        <x:v>1. Establish the normal precondition. 2. Inject invalid code reference cardinality signature and bundle structure cases; all must be blocked. 3. Inspect user state, side effects, audit and any recovery queue.</x:v>
      </x:c>
      <x:c r="K351" s="8" t="str">
        <x:v>Inject invalid code reference cardinality signature and bundle structure cases; all must be blocked. Evidence must show the actual final state and any accountable unresolved work.</x:v>
      </x:c>
      <x:c r="L351" s="10" t="str">
        <x:v>Not run</x:v>
      </x:c>
      <x:c r="M351" s="10" t="str">
        <x:v>QA with engineering owner</x:v>
      </x:c>
      <x:c r="N351" s="10" t="str"/>
      <x:c r="O351" s="10" t="str"/>
      <x:c r="P351" s="8" t="n">
        <x:f>IF(LEN(N351)&gt;0,1,0)</x:f>
        <x:v>0</x:v>
      </x:c>
    </x:row>
    <x:row r="352" ht="47.25" customHeight="1">
      <x:c r="A352" s="7" t="str">
        <x:v>TC-NFR-26-A</x:v>
      </x:c>
      <x:c r="B352" s="7" t="str">
        <x:v>NFR-26</x:v>
      </x:c>
      <x:c r="C352" s="7" t="str">
        <x:v>QR-26</x:v>
      </x:c>
      <x:c r="D352" s="7" t="str">
        <x:v>Consent and exchange traceability acceptance</x:v>
      </x:c>
      <x:c r="E352" s="7" t="str">
        <x:v>Performance or control</x:v>
      </x:c>
      <x:c r="F352" s="7" t="str">
        <x:v>Must</x:v>
      </x:c>
      <x:c r="G352" s="7" t="str">
        <x:v>R1</x:v>
      </x:c>
      <x:c r="H352" s="7" t="str">
        <x:v>FX-NFR-26</x:v>
      </x:c>
      <x:c r="I352" s="7" t="str">
        <x:v>Synthetic tenant A; verified actor with intended scope; relevant pack and connector test profile active; reset fixture before execution.</x:v>
      </x:c>
      <x:c r="J352" s="7" t="str">
        <x:v>1. Load FX-NFR-26. 2. Reconstruct each release-test exchange from purpose and authority through request validation receipt and final status. 3. Capture UI/API results and stored receipt or audit evidence.</x:v>
      </x:c>
      <x:c r="K352" s="7" t="str">
        <x:v>Verification: Audit reconstruction succeeds for all release exchanges, while log inspection confirms that secrets, tokens and unnecessary clinical content are absent.</x:v>
      </x:c>
      <x:c r="L352" s="10" t="str">
        <x:v>Not run</x:v>
      </x:c>
      <x:c r="M352" s="10" t="str">
        <x:v>QA with engineering owner</x:v>
      </x:c>
      <x:c r="N352" s="10" t="str"/>
      <x:c r="O352" s="10" t="str"/>
      <x:c r="P352" s="7" t="n">
        <x:f>IF(LEN(N352)&gt;0,1,0)</x:f>
        <x:v>0</x:v>
      </x:c>
    </x:row>
    <x:row r="353" ht="47.25" customHeight="1">
      <x:c r="A353" s="8" t="str">
        <x:v>TC-NFR-26-B</x:v>
      </x:c>
      <x:c r="B353" s="8" t="str">
        <x:v>NFR-26</x:v>
      </x:c>
      <x:c r="C353" s="8" t="str">
        <x:v>QR-26</x:v>
      </x:c>
      <x:c r="D353" s="8" t="str">
        <x:v>Consent and exchange traceability adverse condition</x:v>
      </x:c>
      <x:c r="E353" s="8" t="str">
        <x:v>Negative or recovery</x:v>
      </x:c>
      <x:c r="F353" s="8" t="str">
        <x:v>Must</x:v>
      </x:c>
      <x:c r="G353" s="8" t="str">
        <x:v>R1</x:v>
      </x:c>
      <x:c r="H353" s="8" t="str">
        <x:v>FX-NFR-26-NEG</x:v>
      </x:c>
      <x:c r="I353" s="8" t="str">
        <x:v>Isolated synthetic tenant; begin from the corresponding acceptance scenario; inject only the named adverse condition.</x:v>
      </x:c>
      <x:c r="J353" s="8" t="str">
        <x:v>1. Establish the normal precondition. 2. Remove a consent or source reference; fail traceability without logging raw payloads to repair the gap. 3. Inspect user state, side effects, audit and any recovery queue.</x:v>
      </x:c>
      <x:c r="K353" s="8" t="str">
        <x:v>Remove a consent or source reference; fail traceability without logging raw payloads to repair the gap. Evidence must show the actual final state and any accountable unresolved work.</x:v>
      </x:c>
      <x:c r="L353" s="10" t="str">
        <x:v>Not run</x:v>
      </x:c>
      <x:c r="M353" s="10" t="str">
        <x:v>QA with engineering owner</x:v>
      </x:c>
      <x:c r="N353" s="10" t="str"/>
      <x:c r="O353" s="10" t="str"/>
      <x:c r="P353" s="8" t="n">
        <x:f>IF(LEN(N353)&gt;0,1,0)</x:f>
        <x:v>0</x:v>
      </x:c>
    </x:row>
    <x:row r="354" ht="47.25" customHeight="1">
      <x:c r="A354" s="7" t="str">
        <x:v>TC-NFR-27-A</x:v>
      </x:c>
      <x:c r="B354" s="7" t="str">
        <x:v>NFR-27</x:v>
      </x:c>
      <x:c r="C354" s="7" t="str">
        <x:v>QR-27</x:v>
      </x:c>
      <x:c r="D354" s="7" t="str">
        <x:v>Connector upgrade compatibility acceptance</x:v>
      </x:c>
      <x:c r="E354" s="7" t="str">
        <x:v>Performance or control</x:v>
      </x:c>
      <x:c r="F354" s="7" t="str">
        <x:v>Must</x:v>
      </x:c>
      <x:c r="G354" s="7" t="str">
        <x:v>R1</x:v>
      </x:c>
      <x:c r="H354" s="7" t="str">
        <x:v>FX-NFR-27</x:v>
      </x:c>
      <x:c r="I354" s="7" t="str">
        <x:v>Synthetic tenant A; verified actor with intended scope; relevant pack and connector test profile active; reset fixture before execution.</x:v>
      </x:c>
      <x:c r="J354" s="7" t="str">
        <x:v>1. Load FX-NFR-27. 2. Upgrade adapter and FHIR packages with old queued actions historical results and amendment fixtures present. 3. Capture UI/API results and stored receipt or audit evidence.</x:v>
      </x:c>
      <x:c r="K354" s="7" t="str">
        <x:v>Verification: A simulated breaking version change does not corrupt queued work or silently reinterpret historical records.</x:v>
      </x:c>
      <x:c r="L354" s="10" t="str">
        <x:v>Not run</x:v>
      </x:c>
      <x:c r="M354" s="10" t="str">
        <x:v>QA with engineering owner</x:v>
      </x:c>
      <x:c r="N354" s="10" t="str"/>
      <x:c r="O354" s="10" t="str"/>
      <x:c r="P354" s="7" t="n">
        <x:f>IF(LEN(N354)&gt;0,1,0)</x:f>
        <x:v>0</x:v>
      </x:c>
    </x:row>
    <x:row r="355" ht="47.25" customHeight="1">
      <x:c r="A355" s="8" t="str">
        <x:v>TC-NFR-27-B</x:v>
      </x:c>
      <x:c r="B355" s="8" t="str">
        <x:v>NFR-27</x:v>
      </x:c>
      <x:c r="C355" s="8" t="str">
        <x:v>QR-27</x:v>
      </x:c>
      <x:c r="D355" s="8" t="str">
        <x:v>Connector upgrade compatibility adverse condition</x:v>
      </x:c>
      <x:c r="E355" s="8" t="str">
        <x:v>Negative or recovery</x:v>
      </x:c>
      <x:c r="F355" s="8" t="str">
        <x:v>Must</x:v>
      </x:c>
      <x:c r="G355" s="8" t="str">
        <x:v>R1</x:v>
      </x:c>
      <x:c r="H355" s="8" t="str">
        <x:v>FX-NFR-27-NEG</x:v>
      </x:c>
      <x:c r="I355" s="8" t="str">
        <x:v>Isolated synthetic tenant; begin from the corresponding acceptance scenario; inject only the named adverse condition.</x:v>
      </x:c>
      <x:c r="J355" s="8" t="str">
        <x:v>1. Establish the normal precondition. 2. Introduce a breaking schema change; incompatible work pauses without reinterpretation. 3. Inspect user state, side effects, audit and any recovery queue.</x:v>
      </x:c>
      <x:c r="K355" s="8" t="str">
        <x:v>Introduce a breaking schema change; incompatible work pauses without reinterpretation. Evidence must show the actual final state and any accountable unresolved work.</x:v>
      </x:c>
      <x:c r="L355" s="10" t="str">
        <x:v>Not run</x:v>
      </x:c>
      <x:c r="M355" s="10" t="str">
        <x:v>QA with engineering owner</x:v>
      </x:c>
      <x:c r="N355" s="10" t="str"/>
      <x:c r="O355" s="10" t="str"/>
      <x:c r="P355" s="8" t="n">
        <x:f>IF(LEN(N355)&gt;0,1,0)</x:f>
        <x:v>0</x:v>
      </x:c>
    </x:row>
    <x:row r="356" ht="47.25" customHeight="1">
      <x:c r="A356" s="7" t="str">
        <x:v>TC-NFR-28-A</x:v>
      </x:c>
      <x:c r="B356" s="7" t="str">
        <x:v>NFR-28</x:v>
      </x:c>
      <x:c r="C356" s="7" t="str">
        <x:v>QR-28</x:v>
      </x:c>
      <x:c r="D356" s="7" t="str">
        <x:v>Interoperability performance acceptance</x:v>
      </x:c>
      <x:c r="E356" s="7" t="str">
        <x:v>Performance or control</x:v>
      </x:c>
      <x:c r="F356" s="7" t="str">
        <x:v>Should</x:v>
      </x:c>
      <x:c r="G356" s="7" t="str">
        <x:v>R1</x:v>
      </x:c>
      <x:c r="H356" s="7" t="str">
        <x:v>FX-NFR-28</x:v>
      </x:c>
      <x:c r="I356" s="7" t="str">
        <x:v>Synthetic tenant A; verified actor with intended scope; relevant pack and connector test profile active; reset fixture before execution.</x:v>
      </x:c>
      <x:c r="J356" s="7" t="str">
        <x:v>1. Load FX-NFR-28. 2. Measure local canonical transformation and validation p95 under the R1 workload, excluding network and destination processing. 3. Capture UI/API results and stored receipt or audit evidence.</x:v>
      </x:c>
      <x:c r="K356" s="7" t="str">
        <x:v>Verification: Instrumented tests report transformation, validation, queue and external latency separately for each connector type.</x:v>
      </x:c>
      <x:c r="L356" s="10" t="str">
        <x:v>Not run</x:v>
      </x:c>
      <x:c r="M356" s="10" t="str">
        <x:v>QA with engineering owner</x:v>
      </x:c>
      <x:c r="N356" s="10" t="str"/>
      <x:c r="O356" s="10" t="str"/>
      <x:c r="P356" s="7" t="n">
        <x:f>IF(LEN(N356)&gt;0,1,0)</x:f>
        <x:v>0</x:v>
      </x:c>
    </x:row>
    <x:row r="357" ht="47.25" customHeight="1">
      <x:c r="A357" s="8" t="str">
        <x:v>TC-NFR-28-B</x:v>
      </x:c>
      <x:c r="B357" s="8" t="str">
        <x:v>NFR-28</x:v>
      </x:c>
      <x:c r="C357" s="8" t="str">
        <x:v>QR-28</x:v>
      </x:c>
      <x:c r="D357" s="8" t="str">
        <x:v>Interoperability performance adverse condition</x:v>
      </x:c>
      <x:c r="E357" s="8" t="str">
        <x:v>Negative or recovery</x:v>
      </x:c>
      <x:c r="F357" s="8" t="str">
        <x:v>Should</x:v>
      </x:c>
      <x:c r="G357" s="8" t="str">
        <x:v>R1</x:v>
      </x:c>
      <x:c r="H357" s="8" t="str">
        <x:v>FX-NFR-28-NEG</x:v>
      </x:c>
      <x:c r="I357" s="8" t="str">
        <x:v>Isolated synthetic tenant; begin from the corresponding acceptance scenario; inject only the named adverse condition.</x:v>
      </x:c>
      <x:c r="J357" s="8" t="str">
        <x:v>1. Establish the normal precondition. 2. Add external latency to the local measurement or hide a slow adapter; fail the measurement-method review. 3. Inspect user state, side effects, audit and any recovery queue.</x:v>
      </x:c>
      <x:c r="K357" s="8" t="str">
        <x:v>Add external latency to the local measurement or hide a slow adapter; fail the measurement-method review. Evidence must show the actual final state and any accountable unresolved work.</x:v>
      </x:c>
      <x:c r="L357" s="10" t="str">
        <x:v>Not run</x:v>
      </x:c>
      <x:c r="M357" s="10" t="str">
        <x:v>QA with engineering owner</x:v>
      </x:c>
      <x:c r="N357" s="10" t="str"/>
      <x:c r="O357" s="10" t="str"/>
      <x:c r="P357" s="8" t="n">
        <x:f>IF(LEN(N357)&gt;0,1,0)</x:f>
        <x:v>0</x:v>
      </x:c>
    </x:row>
    <x:row r="358" ht="210" customHeight="1">
      <x:c r="A358" s="7" t="str">
        <x:v>TC-J01</x:v>
      </x:c>
      <x:c r="B358" s="7" t="str">
        <x:v>BR-UX-01 BR-DATA-01 BR-PROG-05 BR-INT-05</x:v>
      </x:c>
      <x:c r="C358" s="7" t="str">
        <x:v>J01</x:v>
      </x:c>
      <x:c r="D358" s="7" t="str">
        <x:v>Multi programme home visit</x:v>
      </x:c>
      <x:c r="E358" s="7" t="str">
        <x:v>End to end</x:v>
      </x:c>
      <x:c r="F358" s="7" t="str">
        <x:v>Must</x:v>
      </x:c>
      <x:c r="G358" s="7" t="str">
        <x:v>R1</x:v>
      </x:c>
      <x:c r="H358" s="7" t="str">
        <x:v>FX-J01</x:v>
      </x:c>
      <x:c r="I358" s="7" t="str">
        <x:v>Synthetic environment; role ASHA worker; journey-specific providers and destinations configured as test adapters; no live clinical data.</x:v>
      </x:c>
      <x:c r="J358" s="7" t="str">
        <x:v>1. Open assigned household work and choose one person; the system verifies assignment and shows source freshness.
2. Confirm the person and start an encounter. Maternal, TB and hypertension packs contribute their eligible questions.
3. Capture the narrative once. The extractor returns draft fields with source spans; the worker corrects uncertain values.
4. The question assembler reuses eligible existing facts and asks only unresolved or genuinely distinct questions.
5. Run eligible AI support where permitted. Present the source facts, independent results and consolidated actions for review.
6. Confirm the encounter and authorised programme actions. Submit each destination separately and display its receipt.
7. Assign every open referral or rejected submission to a responsible person or monitored queue.
Inject exception: A destination timeout leaves only that action uncertain. Patient ambiguity stops disclosure. Urgent approved protocol actions take precedence over forms.</x:v>
      </x:c>
      <x:c r="K358" s="7" t="str">
        <x:v>One confirmed encounter; separate accepted or unresolved destination states; no duplicate entry of an eligible shared fact.</x:v>
      </x:c>
      <x:c r="L358" s="10" t="str">
        <x:v>Not run</x:v>
      </x:c>
      <x:c r="M358" s="10" t="str">
        <x:v>Product QA and programme owner</x:v>
      </x:c>
      <x:c r="N358" s="10" t="str"/>
      <x:c r="O358" s="10" t="str"/>
      <x:c r="P358" s="7" t="n">
        <x:f>IF(LEN(N358)&gt;0,1,0)</x:f>
        <x:v>0</x:v>
      </x:c>
    </x:row>
    <x:row r="359" ht="174.75" customHeight="1">
      <x:c r="A359" s="8" t="str">
        <x:v>TC-J02</x:v>
      </x:c>
      <x:c r="B359" s="8" t="str">
        <x:v>BR-AI-02 BR-AI-06 BR-CLIN-03</x:v>
      </x:c>
      <x:c r="C359" s="8" t="str">
        <x:v>J02</x:v>
      </x:c>
      <x:c r="D359" s="8" t="str">
        <x:v>Cough analysis within screening</x:v>
      </x:c>
      <x:c r="E359" s="8" t="str">
        <x:v>End to end</x:v>
      </x:c>
      <x:c r="F359" s="8" t="str">
        <x:v>Must</x:v>
      </x:c>
      <x:c r="G359" s="8" t="str">
        <x:v>R1</x:v>
      </x:c>
      <x:c r="H359" s="8" t="str">
        <x:v>FX-J02</x:v>
      </x:c>
      <x:c r="I359" s="8" t="str">
        <x:v>Synthetic environment; role Permitted worker and clinical reviewer; journey-specific providers and destinations configured as test adapters; no live clinical data.</x:v>
      </x:c>
      <x:c r="J359" s="8" t="str">
        <x:v>1. Check that the patient, language, recording method and device are within the selected capability approval.
2. Explain the optional recording and record the required permission without blocking ordinary screening when declined.
3. Capture the signal using provider-approved instructions and confirm patient context.
4. Evaluate input quality, upload only permitted fields and create a version-pinned request with a deadline.
5. Validate the response and display result, limitations and quality state separately from diagnosis.
6. Apply the locally approved pathway and route any clinical decision to the appropriate reviewer.
Inject exception: Unusable audio returns retry guidance. Provider failure and inability to assess never become a negative screen.</x:v>
      </x:c>
      <x:c r="K359" s="8" t="str">
        <x:v>Invocation and result or failure are traceable; any care decision records its human or approved protocol authority.</x:v>
      </x:c>
      <x:c r="L359" s="10" t="str">
        <x:v>Not run</x:v>
      </x:c>
      <x:c r="M359" s="10" t="str">
        <x:v>Product QA and programme owner</x:v>
      </x:c>
      <x:c r="N359" s="10" t="str"/>
      <x:c r="O359" s="10" t="str"/>
      <x:c r="P359" s="8" t="n">
        <x:f>IF(LEN(N359)&gt;0,1,0)</x:f>
        <x:v>0</x:v>
      </x:c>
    </x:row>
    <x:row r="360" ht="198" customHeight="1">
      <x:c r="A360" s="7" t="str">
        <x:v>TC-J03</x:v>
      </x:c>
      <x:c r="B360" s="7" t="str">
        <x:v>BR-OFF-02 BR-OFF-05 BR-INT-04</x:v>
      </x:c>
      <x:c r="C360" s="7" t="str">
        <x:v>J03</x:v>
      </x:c>
      <x:c r="D360" s="7" t="str">
        <x:v>Offline capture and partial synchronisation</x:v>
      </x:c>
      <x:c r="E360" s="7" t="str">
        <x:v>End to end</x:v>
      </x:c>
      <x:c r="F360" s="7" t="str">
        <x:v>Must</x:v>
      </x:c>
      <x:c r="G360" s="7" t="str">
        <x:v>R1</x:v>
      </x:c>
      <x:c r="H360" s="7" t="str">
        <x:v>FX-J03</x:v>
      </x:c>
      <x:c r="I360" s="7" t="str">
        <x:v>Synthetic environment; role ASHA worker and sync service; journey-specific providers and destinations configured as test adapters; no live clinical data.</x:v>
      </x:c>
      <x:c r="J360" s="7" t="str">
        <x:v>1. Obtain a signed scoped offline lease while online and cache the assigned records and approved protocols.
2. Capture the encounter into an encrypted local transaction. Show saved on device only after commit.
3. Queue dependent commands with stable IDs and explicit person and encounter dependencies.
4. On reconnection recheck lease, assignment, identity links, consent, versions and input freshness.
5. Accept valid local records and dispatch only eligible destination actions. Destination A accepts; B times out.
6. Reconcile B using its stable external reference; retry only when non-acceptance is established.
7. Return per-item receipts and conflicts to the device. Retain pending work until its server receipt is durable.
Inject exception: Expired authority cancels pending optional uploads. Low storage preserves acknowledged records. Conflicts enter review.</x:v>
      </x:c>
      <x:c r="K360" s="7" t="str">
        <x:v>No duplicate destination action and no loss of acknowledged work; unresolved outcomes have owners.</x:v>
      </x:c>
      <x:c r="L360" s="10" t="str">
        <x:v>Not run</x:v>
      </x:c>
      <x:c r="M360" s="10" t="str">
        <x:v>Product QA and programme owner</x:v>
      </x:c>
      <x:c r="N360" s="10" t="str"/>
      <x:c r="O360" s="10" t="str"/>
      <x:c r="P360" s="7" t="n">
        <x:f>IF(LEN(N360)&gt;0,1,0)</x:f>
        <x:v>0</x:v>
      </x:c>
    </x:row>
    <x:row r="361" ht="163.5" customHeight="1">
      <x:c r="A361" s="8" t="str">
        <x:v>TC-J04</x:v>
      </x:c>
      <x:c r="B361" s="8" t="str">
        <x:v>BR-ID-08 BR-DATA-06 BR-SEC-08</x:v>
      </x:c>
      <x:c r="C361" s="8" t="str">
        <x:v>J04</x:v>
      </x:c>
      <x:c r="D361" s="8" t="str">
        <x:v>Repair an incorrect patient link</x:v>
      </x:c>
      <x:c r="E361" s="8" t="str">
        <x:v>End to end</x:v>
      </x:c>
      <x:c r="F361" s="8" t="str">
        <x:v>Must</x:v>
      </x:c>
      <x:c r="G361" s="8" t="str">
        <x:v>R1</x:v>
      </x:c>
      <x:c r="H361" s="8" t="str">
        <x:v>FX-J04</x:v>
      </x:c>
      <x:c r="I361" s="8" t="str">
        <x:v>Synthetic environment; role Identity steward and programme owner; journey-specific providers and destinations configured as test adapters; no live clinical data.</x:v>
      </x:c>
      <x:c r="J361" s="8" t="str">
        <x:v>1. Report the suspected mismatch and place affected future disclosures on hold.
2. Compare original identity sources with restricted access and confirm the correct person or preserve uncertainty.
3. Append a superseding link record with reason and reviewer; retain the original link history.
4. Use lineage to identify affected observations, model requests, plans and external submissions.
5. Invalidate pending approvals and generate destination-specific correction tasks.
6. Record external repair receipts or the remaining assisted correction obligation.
Inject exception: A steward without external amendment authority routes to the programme owner. Existing accepted records are not silently reassigned.</x:v>
      </x:c>
      <x:c r="K361" s="8" t="str">
        <x:v>Identity history and all downstream impacts are visible; any incomplete external correction remains open.</x:v>
      </x:c>
      <x:c r="L361" s="10" t="str">
        <x:v>Not run</x:v>
      </x:c>
      <x:c r="M361" s="10" t="str">
        <x:v>Product QA and programme owner</x:v>
      </x:c>
      <x:c r="N361" s="10" t="str"/>
      <x:c r="O361" s="10" t="str"/>
      <x:c r="P361" s="8" t="n">
        <x:f>IF(LEN(N361)&gt;0,1,0)</x:f>
        <x:v>0</x:v>
      </x:c>
    </x:row>
    <x:row r="362" ht="163.5" customHeight="1">
      <x:c r="A362" s="7" t="str">
        <x:v>TC-J05</x:v>
      </x:c>
      <x:c r="B362" s="7" t="str">
        <x:v>BR-AI-01 BR-AI-04 BR-AI-10</x:v>
      </x:c>
      <x:c r="C362" s="7" t="str">
        <x:v>J05</x:v>
      </x:c>
      <x:c r="D362" s="7" t="str">
        <x:v>Onboard and suspend a provider</x:v>
      </x:c>
      <x:c r="E362" s="7" t="str">
        <x:v>End to end</x:v>
      </x:c>
      <x:c r="F362" s="7" t="str">
        <x:v>Must</x:v>
      </x:c>
      <x:c r="G362" s="7" t="str">
        <x:v>R1</x:v>
      </x:c>
      <x:c r="H362" s="7" t="str">
        <x:v>FX-J05</x:v>
      </x:c>
      <x:c r="I362" s="7" t="str">
        <x:v>Synthetic environment; role Provider owner AI governance and clinical safety; journey-specific providers and destinations configured as test adapters; no live clinical data.</x:v>
      </x:c>
      <x:c r="J362" s="7" t="str">
        <x:v>1. Register the provider and immutable manifest version in a synthetic test space.
2. Run schema, quality, correlation, retry and timeout contract tests.
3. Review hosting, retention, intended use, evidence and local clinical deployment scope.
4. Activate the approved version only for its named deployment and population.
5. Monitor errors, drift signals, cost and safety cases with defined escalation owners.
6. When a material issue occurs suspend new calls, assess running work and identify affected encounters.
7. Require corrective evidence and fresh review before a corrected version is activated.
Inject exception: An API test alone does not enable live clinical use. An unapproved alternative provider cannot silently take over.</x:v>
      </x:c>
      <x:c r="K362" s="7" t="str">
        <x:v>Provider history, activation evidence, suspension scope and follow-up work are reproducible.</x:v>
      </x:c>
      <x:c r="L362" s="10" t="str">
        <x:v>Not run</x:v>
      </x:c>
      <x:c r="M362" s="10" t="str">
        <x:v>Product QA and programme owner</x:v>
      </x:c>
      <x:c r="N362" s="10" t="str"/>
      <x:c r="O362" s="10" t="str"/>
      <x:c r="P362" s="7" t="n">
        <x:f>IF(LEN(N362)&gt;0,1,0)</x:f>
        <x:v>0</x:v>
      </x:c>
    </x:row>
    <x:row r="363" ht="140.25" customHeight="1">
      <x:c r="A363" s="8" t="str">
        <x:v>TC-J06</x:v>
      </x:c>
      <x:c r="B363" s="8" t="str">
        <x:v>BR-REP-02 BR-REP-03 BR-REP-04</x:v>
      </x:c>
      <x:c r="C363" s="8" t="str">
        <x:v>J06</x:v>
      </x:c>
      <x:c r="D363" s="8" t="str">
        <x:v>Review programme service gaps</x:v>
      </x:c>
      <x:c r="E363" s="8" t="str">
        <x:v>End to end</x:v>
      </x:c>
      <x:c r="F363" s="8" t="str">
        <x:v>Must</x:v>
      </x:c>
      <x:c r="G363" s="8" t="str">
        <x:v>R1</x:v>
      </x:c>
      <x:c r="H363" s="8" t="str">
        <x:v>FX-J06</x:v>
      </x:c>
      <x:c r="I363" s="8" t="str">
        <x:v>Synthetic environment; role Programme manager; journey-specific providers and destinations configured as test adapters; no live clinical data.</x:v>
      </x:c>
      <x:c r="J363" s="8" t="str">
        <x:v>1. Choose an approved metric definition, reporting period and permitted programme scope.
2. Resolve the cohort and distinguish people, encounters and accepted programme events.
3. Display source refresh times, exclusions, denominator and incomplete feeds.
4. Apply suppression and prevent disclosure through repeated filter differences.
5. Open person-level follow-up only when a separate permission permits it.
6. Assign operational review work with an owner and reason; retain the exact report version.
Inject exception: Unavailable ground truth produces an unsupported answer. A report cannot automatically sanction workers or deny care.</x:v>
      </x:c>
      <x:c r="K363" s="8" t="str">
        <x:v>The same versioned inputs reproduce the report and any resulting assignments.</x:v>
      </x:c>
      <x:c r="L363" s="10" t="str">
        <x:v>Not run</x:v>
      </x:c>
      <x:c r="M363" s="10" t="str">
        <x:v>Product QA and programme owner</x:v>
      </x:c>
      <x:c r="N363" s="10" t="str"/>
      <x:c r="O363" s="10" t="str"/>
      <x:c r="P363" s="8" t="n">
        <x:f>IF(LEN(N363)&gt;0,1,0)</x:f>
        <x:v>0</x:v>
      </x:c>
    </x:row>
    <x:row r="364" ht="140.25" customHeight="1">
      <x:c r="A364" s="7" t="str">
        <x:v>TC-J07</x:v>
      </x:c>
      <x:c r="B364" s="7" t="str">
        <x:v>BR-SEC-03 BR-OFF-04</x:v>
      </x:c>
      <x:c r="C364" s="7" t="str">
        <x:v>J07</x:v>
      </x:c>
      <x:c r="D364" s="7" t="str">
        <x:v>Withdraw permission before upload</x:v>
      </x:c>
      <x:c r="E364" s="7" t="str">
        <x:v>End to end</x:v>
      </x:c>
      <x:c r="F364" s="7" t="str">
        <x:v>Must</x:v>
      </x:c>
      <x:c r="G364" s="7" t="str">
        <x:v>R1</x:v>
      </x:c>
      <x:c r="H364" s="7" t="str">
        <x:v>FX-J07</x:v>
      </x:c>
      <x:c r="I364" s="7" t="str">
        <x:v>Synthetic environment; role Patient through authorised worker; journey-specific providers and destinations configured as test adapters; no live clinical data.</x:v>
      </x:c>
      <x:c r="J364" s="7" t="str">
        <x:v>1. Find the specific purpose and authority record used for a queued recording.
2. Record the verified withdrawal and its effective time.
3. Block local queued media immediately where the device knows of the withdrawal.
4. On reconnection invalidate server-side pending calls and propagate the changed authority state.
5. Dispose the recording under the approved retention policy or record an independent hold.
6. If already received externally, initiate and track the recipient restriction or disposal request.
Inject exception: Disconnected copies cannot be claimed erased instantly. Withdrawal of optional AI use leaves the approved underlying care workflow available.</x:v>
      </x:c>
      <x:c r="K364" s="7" t="str">
        <x:v>No new unauthorised disclosure; downstream disposition status reflects actual evidence.</x:v>
      </x:c>
      <x:c r="L364" s="10" t="str">
        <x:v>Not run</x:v>
      </x:c>
      <x:c r="M364" s="10" t="str">
        <x:v>Product QA and programme owner</x:v>
      </x:c>
      <x:c r="N364" s="10" t="str"/>
      <x:c r="O364" s="10" t="str"/>
      <x:c r="P364" s="7" t="n">
        <x:f>IF(LEN(N364)&gt;0,1,0)</x:f>
        <x:v>0</x:v>
      </x:c>
    </x:row>
    <x:row r="365" ht="174.75" customHeight="1">
      <x:c r="A365" s="8" t="str">
        <x:v>TC-J08</x:v>
      </x:c>
      <x:c r="B365" s="8" t="str">
        <x:v>BR-AI-09 BR-CLIN-05 BR-INT-21</x:v>
      </x:c>
      <x:c r="C365" s="8" t="str">
        <x:v>J08</x:v>
      </x:c>
      <x:c r="D365" s="8" t="str">
        <x:v>Multi AI clinical consultation and EHR update</x:v>
      </x:c>
      <x:c r="E365" s="8" t="str">
        <x:v>End to end</x:v>
      </x:c>
      <x:c r="F365" s="8" t="str">
        <x:v>Must</x:v>
      </x:c>
      <x:c r="G365" s="8" t="str">
        <x:v>R1</x:v>
      </x:c>
      <x:c r="H365" s="8" t="str">
        <x:v>FX-J08</x:v>
      </x:c>
      <x:c r="I365" s="8" t="str">
        <x:v>Synthetic environment; role Nurse and clinician; journey-specific providers and destinations configured as test adapters; no live clinical data.</x:v>
      </x:c>
      <x:c r="J365" s="8" t="str">
        <x:v>1. Open the authorised EHR person context and reconcile it with the local encounter.
2. Record history and observations once with device associations and source times.
3. Invoke approved retinal and ECG capabilities separately using their required inputs.
4. Display the original traces or images, provider versions, limitations and independent outputs.
5. The clinician records their interpretation and signs the care plan and permitted orders.
6. Prepare and validate EHR writes; display business receipts and preserve any version conflict.
7. Prepare ABDM clinical artefacts only through the separately enabled HIP scope.
Inject exception: Unsupported media requires recapture. Rejection of one EHR record does not reverse other accepted records.</x:v>
      </x:c>
      <x:c r="K365" s="8" t="str">
        <x:v>Signed clinical decision, EHR receipts and any ABDM publication state are independently traceable.</x:v>
      </x:c>
      <x:c r="L365" s="10" t="str">
        <x:v>Not run</x:v>
      </x:c>
      <x:c r="M365" s="10" t="str">
        <x:v>Product QA and programme owner</x:v>
      </x:c>
      <x:c r="N365" s="10" t="str"/>
      <x:c r="O365" s="10" t="str"/>
      <x:c r="P365" s="8" t="n">
        <x:f>IF(LEN(N365)&gt;0,1,0)</x:f>
        <x:v>0</x:v>
      </x:c>
    </x:row>
    <x:row r="366" ht="186.75" customHeight="1">
      <x:c r="A366" s="7" t="str">
        <x:v>TC-J09</x:v>
      </x:c>
      <x:c r="B366" s="7" t="str">
        <x:v>BR-INT-13 BR-INT-15 BR-INT-18 BR-INT-19</x:v>
      </x:c>
      <x:c r="C366" s="7" t="str">
        <x:v>J09</x:v>
      </x:c>
      <x:c r="D366" s="7" t="str">
        <x:v>Consented ABDM retrieval and publication</x:v>
      </x:c>
      <x:c r="E366" s="7" t="str">
        <x:v>End to end</x:v>
      </x:c>
      <x:c r="F366" s="7" t="str">
        <x:v>Must</x:v>
      </x:c>
      <x:c r="G366" s="7" t="str">
        <x:v>R1</x:v>
      </x:c>
      <x:c r="H366" s="7" t="str">
        <x:v>FX-J09</x:v>
      </x:c>
      <x:c r="I366" s="7" t="str">
        <x:v>Synthetic environment; role Authorised facility clinician; journey-specific providers and destinations configured as test adapters; no live clinical data.</x:v>
      </x:c>
      <x:c r="J366" s="7" t="str">
        <x:v>1. Verify deployment module role, facility identity and the patient ABHA linkage through approved flows.
2. Request the minimum record types and period required for the stated care purpose.
3. Track consent approval and verify artefact scope, expiry, provider and requester.
4. Receive and decrypt through the authorised exchange adapter, then validate the returned bundles.
5. Present source provenance and dates without overwriting local observations.
6. After care create the reviewed clinical document and make it available through the configured HIP pathway.
7. Retain request, consent, validation, acknowledgement and publication references in the restricted audit chain.
Inject exception: Denied, expired or revoked consent stops new retrieval. Wrong-person or invalid bundles are quarantined.</x:v>
      </x:c>
      <x:c r="K366" s="7" t="str">
        <x:v>Every disclosure and receipt is tied to current authority; local care continues where permitted if exchange is unavailable.</x:v>
      </x:c>
      <x:c r="L366" s="10" t="str">
        <x:v>Not run</x:v>
      </x:c>
      <x:c r="M366" s="10" t="str">
        <x:v>Product QA and programme owner</x:v>
      </x:c>
      <x:c r="N366" s="10" t="str"/>
      <x:c r="O366" s="10" t="str"/>
      <x:c r="P366" s="7" t="n">
        <x:f>IF(LEN(N366)&gt;0,1,0)</x:f>
        <x:v>0</x:v>
      </x:c>
    </x:row>
    <x:row r="367" ht="163.5" customHeight="1">
      <x:c r="A367" s="8" t="str">
        <x:v>TC-J10</x:v>
      </x:c>
      <x:c r="B367" s="8" t="str">
        <x:v>BR-CARE-03 BR-INT-12 BR-INT-20</x:v>
      </x:c>
      <x:c r="C367" s="8" t="str">
        <x:v>J10</x:v>
      </x:c>
      <x:c r="D367" s="8" t="str">
        <x:v>Cross facility referral and diagnostic return</x:v>
      </x:c>
      <x:c r="E367" s="8" t="str">
        <x:v>End to end</x:v>
      </x:c>
      <x:c r="F367" s="8" t="str">
        <x:v>Must</x:v>
      </x:c>
      <x:c r="G367" s="8" t="str">
        <x:v>R1</x:v>
      </x:c>
      <x:c r="H367" s="8" t="str">
        <x:v>FX-J10</x:v>
      </x:c>
      <x:c r="I367" s="8" t="str">
        <x:v>Synthetic environment; role Referring worker and receiving clinician; journey-specific providers and destinations configured as test adapters; no live clinical data.</x:v>
      </x:c>
      <x:c r="J367" s="8" t="str">
        <x:v>1. Prepare a referral with verified identity, minimum necessary clinical context and an accountable owner.
2. Send through the destination supported route and record acknowledgement.
3. The receiving service records assessment, attendance and result in its own authoritative system.
4. Receive the result through the authorised EHR, ABDM or controlled document route.
5. Match the result to the correct person, referral and source version; quarantine mismatches.
6. Create the next task and close only with verified service outcome or coded unresolved disposition.
Inject exception: A destination without structured referral support uses labelled assisted hand-off. Missing attendance or result leaves work open.</x:v>
      </x:c>
      <x:c r="K367" s="8" t="str">
        <x:v>Sent, received, scheduled, attended, resulted and closed states reflect distinct evidence.</x:v>
      </x:c>
      <x:c r="L367" s="10" t="str">
        <x:v>Not run</x:v>
      </x:c>
      <x:c r="M367" s="10" t="str">
        <x:v>Product QA and programme owner</x:v>
      </x:c>
      <x:c r="N367" s="10" t="str"/>
      <x:c r="O367" s="10" t="str"/>
      <x:c r="P367" s="8" t="n">
        <x:f>IF(LEN(N367)&gt;0,1,0)</x:f>
        <x:v>0</x:v>
      </x:c>
    </x:row>
    <x:row r="368" ht="151.5" customHeight="1">
      <x:c r="A368" s="7" t="str">
        <x:v>TC-J11</x:v>
      </x:c>
      <x:c r="B368" s="7" t="str">
        <x:v>BR-PROG-04 BR-CARE-05 BR-INT-21</x:v>
      </x:c>
      <x:c r="C368" s="7" t="str">
        <x:v>J11</x:v>
      </x:c>
      <x:c r="D368" s="7" t="str">
        <x:v>Coordinated chronic care follow up</x:v>
      </x:c>
      <x:c r="E368" s="7" t="str">
        <x:v>End to end</x:v>
      </x:c>
      <x:c r="F368" s="7" t="str">
        <x:v>Must</x:v>
      </x:c>
      <x:c r="G368" s="7" t="str">
        <x:v>R1</x:v>
      </x:c>
      <x:c r="H368" s="7" t="str">
        <x:v>FX-J11</x:v>
      </x:c>
      <x:c r="I368" s="7" t="str">
        <x:v>Synthetic environment; role Worker clinician and patient; journey-specific providers and destinations configured as test adapters; no live clinical data.</x:v>
      </x:c>
      <x:c r="J368" s="7" t="str">
        <x:v>1. Identify compatible due tasks for a person in hypertension and diabetes care.
2. Read permitted history with dates and source systems visible.
3. Contact through the approved worker or patient channel respecting shared-phone preferences.
4. Ask the combined approved questions and record any new measurements with current timestamps.
5. Prepare appointments, medication-access tasks or clinical review requests for authorised confirmation.
6. Write each reviewed update through its supported destination and assign unresolved follow-up.
Inject exception: An old EHR measurement cannot substitute for a required new observation. Concerning answers route to a qualified person.</x:v>
      </x:c>
      <x:c r="K368" s="7" t="str">
        <x:v>Each programme action and EHR update retains independent status and ownership.</x:v>
      </x:c>
      <x:c r="L368" s="10" t="str">
        <x:v>Not run</x:v>
      </x:c>
      <x:c r="M368" s="10" t="str">
        <x:v>Product QA and programme owner</x:v>
      </x:c>
      <x:c r="N368" s="10" t="str"/>
      <x:c r="O368" s="10" t="str"/>
      <x:c r="P368" s="7" t="n">
        <x:f>IF(LEN(N368)&gt;0,1,0)</x:f>
        <x:v>0</x:v>
      </x:c>
    </x:row>
    <x:row r="369" ht="140.25" customHeight="1">
      <x:c r="A369" s="8" t="str">
        <x:v>TC-J12</x:v>
      </x:c>
      <x:c r="B369" s="8" t="str">
        <x:v>BR-REP-06 BR-AG-11 BR-RULE-08</x:v>
      </x:c>
      <x:c r="C369" s="8" t="str">
        <x:v>J12</x:v>
      </x:c>
      <x:c r="D369" s="8" t="str">
        <x:v>Supervisor outreach planning</x:v>
      </x:c>
      <x:c r="E369" s="8" t="str">
        <x:v>End to end</x:v>
      </x:c>
      <x:c r="F369" s="8" t="str">
        <x:v>Must</x:v>
      </x:c>
      <x:c r="G369" s="8" t="str">
        <x:v>R2</x:v>
      </x:c>
      <x:c r="H369" s="8" t="str">
        <x:v>FX-J12</x:v>
      </x:c>
      <x:c r="I369" s="8" t="str">
        <x:v>Synthetic environment; role Block supervisor; journey-specific providers and destinations configured as test adapters; no live clinical data.</x:v>
      </x:c>
      <x:c r="J369" s="8" t="str">
        <x:v>1. Select authorised operational measures and current worker availability.
2. Find overdue visits and unresolved referrals using governed definitions.
3. Remove duplicate people from compatible task groups while preserving separate care reasons.
4. Show missing sources, stale directory entries and uncertainty in the proposed allocation.
5. The supervisor reviews and confirms assignments within permitted scope.
6. Workers receive tasks and later record outcomes linked to the report and allocation version.
Inject exception: ABDM HIU permission is not general population analytics authority. Small cohorts remain protected.</x:v>
      </x:c>
      <x:c r="K369" s="8" t="str">
        <x:v>Every proposed and confirmed assignment has a reason, owner and later outcome; no automated sanction occurs.</x:v>
      </x:c>
      <x:c r="L369" s="10" t="str">
        <x:v>Not run</x:v>
      </x:c>
      <x:c r="M369" s="10" t="str">
        <x:v>Product QA and programme owner</x:v>
      </x:c>
      <x:c r="N369" s="10" t="str"/>
      <x:c r="O369" s="10" t="str"/>
      <x:c r="P369" s="8" t="n">
        <x:f>IF(LEN(N369)&gt;0,1,0)</x:f>
        <x:v>0</x:v>
      </x:c>
    </x:row>
  </x:sheetData>
  <x:mergeCells>
    <x:mergeCell ref="A1:F1"/>
    <x:mergeCell ref="A2:F2"/>
    <x:mergeCell ref="A3:F3"/>
  </x:mergeCells>
  <x:dataValidations count="1">
    <x:dataValidation type="list" sqref="L6:L369">
      <x:formula1>"Not run,Passed,Failed,Blocked,Not applicable"</x:formula1>
    </x:dataValidation>
  </x:dataValidations>
  <x:pageMargins left="0.7" right="0.7" top="0.75" bottom="0.75" header="0.3" footer="0.3"/>
  <x:tableParts count="1">
    <x:tablePart xmlns:r="http://schemas.openxmlformats.org/officeDocument/2006/relationships" r:id="R8b41598f77c3459f"/>
  </x:tableParts>
</x:worksheet>
</file>

<file path=xl/worksheets/sheet4.xml><?xml version="1.0" encoding="utf-8"?>
<x:worksheet xmlns:x="http://schemas.openxmlformats.org/spreadsheetml/2006/main">
  <x:sheetPr>
    <x:tabColor rgb="FFB8852C"/>
  </x:sheetPr>
  <x:sheetViews>
    <x:sheetView showGridLines="0" workbookViewId="0">
      <x:pane xSplit="1" ySplit="5" topLeftCell="B6" activePane="bottomRight" state="frozen"/>
    </x:sheetView>
  </x:sheetViews>
  <x:sheetFormatPr defaultRowHeight="15"/>
  <x:cols>
    <x:col min="1" max="1" width="20" hidden="0" customWidth="1"/>
    <x:col min="2" max="2" width="12.220000267028809" hidden="0" customWidth="1"/>
    <x:col min="3" max="3" width="16.670000076293945" hidden="0" customWidth="1"/>
    <x:col min="4" max="4" width="16.670000076293945" hidden="0" customWidth="1"/>
    <x:col min="5" max="5" width="33.33000183105469" hidden="0" customWidth="1"/>
    <x:col min="6" max="6" width="54.439998626708984" hidden="0" customWidth="1"/>
    <x:col min="7" max="7" width="10" hidden="0" customWidth="1"/>
    <x:col min="8" max="8" width="10" hidden="0" customWidth="1"/>
    <x:col min="9" max="9" width="15.5600004196167" hidden="0" customWidth="1"/>
    <x:col min="10" max="10" width="24.440000534057617" hidden="0" customWidth="1"/>
    <x:col min="11" max="11" width="23.329999923706055" hidden="0" customWidth="1"/>
    <x:col min="12" max="12" width="41.11000061035156" hidden="0" customWidth="1"/>
    <x:col min="13" max="13" width="14.4399995803833" hidden="0" customWidth="1"/>
    <x:col min="14" max="14" width="30" hidden="0" customWidth="1"/>
  </x:cols>
  <x:sheetData>
    <x:row r="1" ht="28.5" customHeight="1">
      <x:c r="A1" s="4" t="str">
        <x:v>Engineering Backlog</x:v>
      </x:c>
      <x:c r="B1" s="4"/>
      <x:c r="C1" s="4"/>
      <x:c r="D1" s="4"/>
      <x:c r="E1" s="4"/>
      <x:c r="F1" s="4"/>
      <x:c r="G1" s="3"/>
      <x:c r="H1" s="3"/>
      <x:c r="I1" s="3"/>
      <x:c r="J1" s="3"/>
      <x:c r="K1" s="3"/>
      <x:c r="L1" s="3"/>
      <x:c r="M1" s="3"/>
      <x:c r="N1" s="3"/>
    </x:row>
    <x:row r="2" ht="21" customHeight="1">
      <x:c r="A2" s="3" t="str">
        <x:v>Health AI Orchestration · v1.0 · source BRD v1.1 · proposed baseline · 26 September 2026</x:v>
      </x:c>
      <x:c r="B2" s="3"/>
      <x:c r="C2" s="3"/>
      <x:c r="D2" s="3"/>
      <x:c r="E2" s="3"/>
      <x:c r="F2" s="3"/>
      <x:c r="G2" s="3"/>
      <x:c r="H2" s="3"/>
      <x:c r="I2" s="3"/>
      <x:c r="J2" s="3"/>
      <x:c r="K2" s="3"/>
      <x:c r="L2" s="3"/>
      <x:c r="M2" s="3"/>
      <x:c r="N2" s="3"/>
    </x:row>
    <x:row r="3" ht="21" customHeight="1">
      <x:c r="A3" s="3" t="str">
        <x:v>Amber cells are editable execution fields. Add evidence before marking work or tests complete.</x:v>
      </x:c>
      <x:c r="B3" s="3"/>
      <x:c r="C3" s="3"/>
      <x:c r="D3" s="3"/>
      <x:c r="E3" s="3"/>
      <x:c r="F3" s="3"/>
      <x:c r="G3" s="3"/>
      <x:c r="H3" s="3"/>
      <x:c r="I3" s="3"/>
      <x:c r="J3" s="3"/>
      <x:c r="K3" s="3"/>
      <x:c r="L3" s="3"/>
      <x:c r="M3" s="3"/>
      <x:c r="N3" s="3"/>
    </x:row>
    <x:row r="4">
      <x:c r="A4" s="3"/>
      <x:c r="B4" s="3"/>
      <x:c r="C4" s="3"/>
      <x:c r="D4" s="3"/>
      <x:c r="E4" s="3"/>
      <x:c r="F4" s="3"/>
      <x:c r="G4" s="3"/>
      <x:c r="H4" s="3"/>
      <x:c r="I4" s="3"/>
      <x:c r="J4" s="3"/>
      <x:c r="K4" s="3"/>
      <x:c r="L4" s="3"/>
      <x:c r="M4" s="3"/>
      <x:c r="N4" s="3"/>
    </x:row>
    <x:row r="5" ht="31.5" customHeight="1">
      <x:c r="A5" s="6" t="str">
        <x:v>Task ID</x:v>
      </x:c>
      <x:c r="B5" s="6" t="str">
        <x:v>Work package</x:v>
      </x:c>
      <x:c r="C5" s="6" t="str">
        <x:v>BRD ID</x:v>
      </x:c>
      <x:c r="D5" s="6" t="str">
        <x:v>Design ID</x:v>
      </x:c>
      <x:c r="E5" s="6" t="str">
        <x:v>Title</x:v>
      </x:c>
      <x:c r="F5" s="6" t="str">
        <x:v>Implementation outcome</x:v>
      </x:c>
      <x:c r="G5" s="6" t="str">
        <x:v>Release</x:v>
      </x:c>
      <x:c r="H5" s="6" t="str">
        <x:v>Priority</x:v>
      </x:c>
      <x:c r="I5" s="6" t="str">
        <x:v>Status</x:v>
      </x:c>
      <x:c r="J5" s="6" t="str">
        <x:v>Owner role</x:v>
      </x:c>
      <x:c r="K5" s="6" t="str">
        <x:v>Dependencies</x:v>
      </x:c>
      <x:c r="L5" s="6" t="str">
        <x:v>Acceptance tests</x:v>
      </x:c>
      <x:c r="M5" s="6" t="str">
        <x:v>Estimate</x:v>
      </x:c>
      <x:c r="N5" s="6" t="str">
        <x:v>Notes</x:v>
      </x:c>
    </x:row>
    <x:row r="6" ht="35.25" customHeight="1">
      <x:c r="A6" s="7" t="str">
        <x:v>ENG-BR-UX-01</x:v>
      </x:c>
      <x:c r="B6" s="7" t="str">
        <x:v>WP03</x:v>
      </x:c>
      <x:c r="C6" s="7" t="str">
        <x:v>BR-UX-01</x:v>
      </x:c>
      <x:c r="D6" s="7" t="str">
        <x:v>FR-UX-01</x:v>
      </x:c>
      <x:c r="E6" s="7" t="str">
        <x:v>One task entry point</x:v>
      </x:c>
      <x:c r="F6" s="7" t="str">
        <x:v>The home screen groups tasks by person and encounter. Provider selection remains behind an eligible capability action.</x:v>
      </x:c>
      <x:c r="G6" s="7" t="str">
        <x:v>R1</x:v>
      </x:c>
      <x:c r="H6" s="7" t="str">
        <x:v>Must</x:v>
      </x:c>
      <x:c r="I6" s="10" t="str">
        <x:v>Not started</x:v>
      </x:c>
      <x:c r="J6" s="10" t="str">
        <x:v>Workflow lead</x:v>
      </x:c>
      <x:c r="K6" s="7" t="str">
        <x:v>WP01 WP02</x:v>
      </x:c>
      <x:c r="L6" s="7" t="str">
        <x:v>TC-BR-UX-01-A TC-BR-UX-01-B</x:v>
      </x:c>
      <x:c r="M6" s="10" t="str">
        <x:v>Unestimated</x:v>
      </x:c>
      <x:c r="N6" s="10" t="str"/>
    </x:row>
    <x:row r="7" ht="35.25" customHeight="1">
      <x:c r="A7" s="8" t="str">
        <x:v>ENG-BR-UX-02</x:v>
      </x:c>
      <x:c r="B7" s="8" t="str">
        <x:v>WP03</x:v>
      </x:c>
      <x:c r="C7" s="8" t="str">
        <x:v>BR-UX-02</x:v>
      </x:c>
      <x:c r="D7" s="8" t="str">
        <x:v>FR-UX-02</x:v>
      </x:c>
      <x:c r="E7" s="8" t="str">
        <x:v>Clear patient and visit context</x:v>
      </x:c>
      <x:c r="F7" s="8" t="str">
        <x:v>Every patient-specific request carries person and encounter IDs validated against the active session context.</x:v>
      </x:c>
      <x:c r="G7" s="8" t="str">
        <x:v>R1</x:v>
      </x:c>
      <x:c r="H7" s="8" t="str">
        <x:v>Must</x:v>
      </x:c>
      <x:c r="I7" s="10" t="str">
        <x:v>Not started</x:v>
      </x:c>
      <x:c r="J7" s="10" t="str">
        <x:v>Workflow lead</x:v>
      </x:c>
      <x:c r="K7" s="8" t="str">
        <x:v>WP01 WP02</x:v>
      </x:c>
      <x:c r="L7" s="8" t="str">
        <x:v>TC-BR-UX-02-A TC-BR-UX-02-B</x:v>
      </x:c>
      <x:c r="M7" s="10" t="str">
        <x:v>Unestimated</x:v>
      </x:c>
      <x:c r="N7" s="10" t="str"/>
    </x:row>
    <x:row r="8" ht="35.25" customHeight="1">
      <x:c r="A8" s="7" t="str">
        <x:v>ENG-BR-UX-03</x:v>
      </x:c>
      <x:c r="B8" s="7" t="str">
        <x:v>WP03</x:v>
      </x:c>
      <x:c r="C8" s="7" t="str">
        <x:v>BR-UX-03</x:v>
      </x:c>
      <x:c r="D8" s="7" t="str">
        <x:v>FR-UX-03</x:v>
      </x:c>
      <x:c r="E8" s="7" t="str">
        <x:v>Voice text and guided entry</x:v>
      </x:c>
      <x:c r="F8" s="7" t="str">
        <x:v>Voice capture has visible start, stop, playback and discard actions; the same fields accept typed or guided input.</x:v>
      </x:c>
      <x:c r="G8" s="7" t="str">
        <x:v>R1</x:v>
      </x:c>
      <x:c r="H8" s="7" t="str">
        <x:v>Must</x:v>
      </x:c>
      <x:c r="I8" s="10" t="str">
        <x:v>Not started</x:v>
      </x:c>
      <x:c r="J8" s="10" t="str">
        <x:v>Workflow lead</x:v>
      </x:c>
      <x:c r="K8" s="7" t="str">
        <x:v>WP01 WP02</x:v>
      </x:c>
      <x:c r="L8" s="7" t="str">
        <x:v>TC-BR-UX-03-A TC-BR-UX-03-B</x:v>
      </x:c>
      <x:c r="M8" s="10" t="str">
        <x:v>Unestimated</x:v>
      </x:c>
      <x:c r="N8" s="10" t="str"/>
    </x:row>
    <x:row r="9" ht="35.25" customHeight="1">
      <x:c r="A9" s="8" t="str">
        <x:v>ENG-BR-UX-04</x:v>
      </x:c>
      <x:c r="B9" s="8" t="str">
        <x:v>WP03</x:v>
      </x:c>
      <x:c r="C9" s="8" t="str">
        <x:v>BR-UX-04</x:v>
      </x:c>
      <x:c r="D9" s="8" t="str">
        <x:v>FR-UX-04</x:v>
      </x:c>
      <x:c r="E9" s="8" t="str">
        <x:v>Structured encounter summary</x:v>
      </x:c>
      <x:c r="F9" s="8" t="str">
        <x:v>The summary has confirmed facts, unresolved facts, recommendations and external actions as four distinct groups.</x:v>
      </x:c>
      <x:c r="G9" s="8" t="str">
        <x:v>R1</x:v>
      </x:c>
      <x:c r="H9" s="8" t="str">
        <x:v>Must</x:v>
      </x:c>
      <x:c r="I9" s="10" t="str">
        <x:v>Not started</x:v>
      </x:c>
      <x:c r="J9" s="10" t="str">
        <x:v>Workflow lead</x:v>
      </x:c>
      <x:c r="K9" s="8" t="str">
        <x:v>WP01 WP02</x:v>
      </x:c>
      <x:c r="L9" s="8" t="str">
        <x:v>TC-BR-UX-04-A TC-BR-UX-04-B</x:v>
      </x:c>
      <x:c r="M9" s="10" t="str">
        <x:v>Unestimated</x:v>
      </x:c>
      <x:c r="N9" s="10" t="str"/>
    </x:row>
    <x:row r="10" ht="35.25" customHeight="1">
      <x:c r="A10" s="7" t="str">
        <x:v>ENG-BR-UX-05</x:v>
      </x:c>
      <x:c r="B10" s="7" t="str">
        <x:v>WP03</x:v>
      </x:c>
      <x:c r="C10" s="7" t="str">
        <x:v>BR-UX-05</x:v>
      </x:c>
      <x:c r="D10" s="7" t="str">
        <x:v>FR-UX-05</x:v>
      </x:c>
      <x:c r="E10" s="7" t="str">
        <x:v>Language and accessibility</x:v>
      </x:c>
      <x:c r="F10" s="7" t="str">
        <x:v>Language is a user preference; concepts and numeric values are language-neutral. Reviewed clinical strings have version IDs.</x:v>
      </x:c>
      <x:c r="G10" s="7" t="str">
        <x:v>R1</x:v>
      </x:c>
      <x:c r="H10" s="7" t="str">
        <x:v>Must</x:v>
      </x:c>
      <x:c r="I10" s="10" t="str">
        <x:v>Not started</x:v>
      </x:c>
      <x:c r="J10" s="10" t="str">
        <x:v>Workflow lead</x:v>
      </x:c>
      <x:c r="K10" s="7" t="str">
        <x:v>WP01 WP02</x:v>
      </x:c>
      <x:c r="L10" s="7" t="str">
        <x:v>TC-BR-UX-05-A TC-BR-UX-05-B</x:v>
      </x:c>
      <x:c r="M10" s="10" t="str">
        <x:v>Unestimated</x:v>
      </x:c>
      <x:c r="N10" s="10" t="str"/>
    </x:row>
    <x:row r="11" ht="35.25" customHeight="1">
      <x:c r="A11" s="8" t="str">
        <x:v>ENG-BR-UX-06</x:v>
      </x:c>
      <x:c r="B11" s="8" t="str">
        <x:v>WP03</x:v>
      </x:c>
      <x:c r="C11" s="8" t="str">
        <x:v>BR-UX-06</x:v>
      </x:c>
      <x:c r="D11" s="8" t="str">
        <x:v>FR-UX-06</x:v>
      </x:c>
      <x:c r="E11" s="8" t="str">
        <x:v>Status that reflects reality</x:v>
      </x:c>
      <x:c r="F11" s="8" t="str">
        <x:v>Show one state per destination plus a separate encounter-save state. Completion derives from required actions.</x:v>
      </x:c>
      <x:c r="G11" s="8" t="str">
        <x:v>R1</x:v>
      </x:c>
      <x:c r="H11" s="8" t="str">
        <x:v>Must</x:v>
      </x:c>
      <x:c r="I11" s="10" t="str">
        <x:v>Not started</x:v>
      </x:c>
      <x:c r="J11" s="10" t="str">
        <x:v>Workflow lead</x:v>
      </x:c>
      <x:c r="K11" s="8" t="str">
        <x:v>WP01 WP02</x:v>
      </x:c>
      <x:c r="L11" s="8" t="str">
        <x:v>TC-BR-UX-06-A TC-BR-UX-06-B</x:v>
      </x:c>
      <x:c r="M11" s="10" t="str">
        <x:v>Unestimated</x:v>
      </x:c>
      <x:c r="N11" s="10" t="str"/>
    </x:row>
    <x:row r="12" ht="35.25" customHeight="1">
      <x:c r="A12" s="7" t="str">
        <x:v>ENG-BR-UX-07</x:v>
      </x:c>
      <x:c r="B12" s="7" t="str">
        <x:v>WP03</x:v>
      </x:c>
      <x:c r="C12" s="7" t="str">
        <x:v>BR-UX-07</x:v>
      </x:c>
      <x:c r="D12" s="7" t="str">
        <x:v>FR-UX-07</x:v>
      </x:c>
      <x:c r="E12" s="7" t="str">
        <x:v>Resume interrupted work</x:v>
      </x:c>
      <x:c r="F12" s="7" t="str">
        <x:v>Persist a draft revision after each committed field change and store the last completed workflow step.</x:v>
      </x:c>
      <x:c r="G12" s="7" t="str">
        <x:v>R1</x:v>
      </x:c>
      <x:c r="H12" s="7" t="str">
        <x:v>Must</x:v>
      </x:c>
      <x:c r="I12" s="10" t="str">
        <x:v>Not started</x:v>
      </x:c>
      <x:c r="J12" s="10" t="str">
        <x:v>Workflow lead</x:v>
      </x:c>
      <x:c r="K12" s="7" t="str">
        <x:v>WP01 WP02</x:v>
      </x:c>
      <x:c r="L12" s="7" t="str">
        <x:v>TC-BR-UX-07-A TC-BR-UX-07-B</x:v>
      </x:c>
      <x:c r="M12" s="10" t="str">
        <x:v>Unestimated</x:v>
      </x:c>
      <x:c r="N12" s="10" t="str"/>
    </x:row>
    <x:row r="13" ht="35.25" customHeight="1">
      <x:c r="A13" s="8" t="str">
        <x:v>ENG-BR-UX-08</x:v>
      </x:c>
      <x:c r="B13" s="8" t="str">
        <x:v>WP03</x:v>
      </x:c>
      <x:c r="C13" s="8" t="str">
        <x:v>BR-UX-08</x:v>
      </x:c>
      <x:c r="D13" s="8" t="str">
        <x:v>FR-UX-08</x:v>
      </x:c>
      <x:c r="E13" s="8" t="str">
        <x:v>Low literacy and field use</x:v>
      </x:c>
      <x:c r="F13" s="8" t="str">
        <x:v>Critical actions use short labels and text plus icon status. Optional audio guidance stops before private playback.</x:v>
      </x:c>
      <x:c r="G13" s="8" t="str">
        <x:v>R1</x:v>
      </x:c>
      <x:c r="H13" s="8" t="str">
        <x:v>Should</x:v>
      </x:c>
      <x:c r="I13" s="10" t="str">
        <x:v>Not started</x:v>
      </x:c>
      <x:c r="J13" s="10" t="str">
        <x:v>Workflow lead</x:v>
      </x:c>
      <x:c r="K13" s="8" t="str">
        <x:v>WP01 WP02</x:v>
      </x:c>
      <x:c r="L13" s="8" t="str">
        <x:v>TC-BR-UX-08-A TC-BR-UX-08-B</x:v>
      </x:c>
      <x:c r="M13" s="10" t="str">
        <x:v>Unestimated</x:v>
      </x:c>
      <x:c r="N13" s="10" t="str"/>
    </x:row>
    <x:row r="14" ht="35.25" customHeight="1">
      <x:c r="A14" s="7" t="str">
        <x:v>ENG-BR-UX-09</x:v>
      </x:c>
      <x:c r="B14" s="7" t="str">
        <x:v>WP03</x:v>
      </x:c>
      <x:c r="C14" s="7" t="str">
        <x:v>BR-UX-09</x:v>
      </x:c>
      <x:c r="D14" s="7" t="str">
        <x:v>FR-UX-09</x:v>
      </x:c>
      <x:c r="E14" s="7" t="str">
        <x:v>Explainable action review</x:v>
      </x:c>
      <x:c r="F14" s="7" t="str">
        <x:v>Approval review lists purpose, recipient and exact record revisions. The worker can exclude an optional action.</x:v>
      </x:c>
      <x:c r="G14" s="7" t="str">
        <x:v>R1</x:v>
      </x:c>
      <x:c r="H14" s="7" t="str">
        <x:v>Must</x:v>
      </x:c>
      <x:c r="I14" s="10" t="str">
        <x:v>Not started</x:v>
      </x:c>
      <x:c r="J14" s="10" t="str">
        <x:v>Workflow lead</x:v>
      </x:c>
      <x:c r="K14" s="7" t="str">
        <x:v>WP01 WP02</x:v>
      </x:c>
      <x:c r="L14" s="7" t="str">
        <x:v>TC-BR-UX-09-A TC-BR-UX-09-B</x:v>
      </x:c>
      <x:c r="M14" s="10" t="str">
        <x:v>Unestimated</x:v>
      </x:c>
      <x:c r="N14" s="10" t="str"/>
    </x:row>
    <x:row r="15" ht="35.25" customHeight="1">
      <x:c r="A15" s="8" t="str">
        <x:v>ENG-BR-ID-01</x:v>
      </x:c>
      <x:c r="B15" s="8" t="str">
        <x:v>WP01</x:v>
      </x:c>
      <x:c r="C15" s="8" t="str">
        <x:v>BR-ID-01</x:v>
      </x:c>
      <x:c r="D15" s="8" t="str">
        <x:v>FR-ID-01</x:v>
      </x:c>
      <x:c r="E15" s="8" t="str">
        <x:v>Workforce lifecycle</x:v>
      </x:c>
      <x:c r="F15" s="8" t="str">
        <x:v>Membership activation follows institutional verification; suspension increments a revocation version consumed by all services.</x:v>
      </x:c>
      <x:c r="G15" s="8" t="str">
        <x:v>R1</x:v>
      </x:c>
      <x:c r="H15" s="8" t="str">
        <x:v>Must</x:v>
      </x:c>
      <x:c r="I15" s="10" t="str">
        <x:v>Not started</x:v>
      </x:c>
      <x:c r="J15" s="10" t="str">
        <x:v>Platform lead</x:v>
      </x:c>
      <x:c r="K15" s="8" t="str">
        <x:v>None</x:v>
      </x:c>
      <x:c r="L15" s="8" t="str">
        <x:v>TC-BR-ID-01-A TC-BR-ID-01-B</x:v>
      </x:c>
      <x:c r="M15" s="10" t="str">
        <x:v>Unestimated</x:v>
      </x:c>
      <x:c r="N15" s="10" t="str"/>
    </x:row>
    <x:row r="16" ht="35.25" customHeight="1">
      <x:c r="A16" s="7" t="str">
        <x:v>ENG-BR-ID-02</x:v>
      </x:c>
      <x:c r="B16" s="7" t="str">
        <x:v>WP01</x:v>
      </x:c>
      <x:c r="C16" s="7" t="str">
        <x:v>BR-ID-02</x:v>
      </x:c>
      <x:c r="D16" s="7" t="str">
        <x:v>FR-ID-02</x:v>
      </x:c>
      <x:c r="E16" s="7" t="str">
        <x:v>Scoped permissions</x:v>
      </x:c>
      <x:c r="F16" s="7" t="str">
        <x:v>Policy input includes tenant, active role, assignment, programme, facility, purpose, action and resource sensitivity.</x:v>
      </x:c>
      <x:c r="G16" s="7" t="str">
        <x:v>R1</x:v>
      </x:c>
      <x:c r="H16" s="7" t="str">
        <x:v>Must</x:v>
      </x:c>
      <x:c r="I16" s="10" t="str">
        <x:v>Not started</x:v>
      </x:c>
      <x:c r="J16" s="10" t="str">
        <x:v>Platform lead</x:v>
      </x:c>
      <x:c r="K16" s="7" t="str">
        <x:v>None</x:v>
      </x:c>
      <x:c r="L16" s="7" t="str">
        <x:v>TC-BR-ID-02-A TC-BR-ID-02-B</x:v>
      </x:c>
      <x:c r="M16" s="10" t="str">
        <x:v>Unestimated</x:v>
      </x:c>
      <x:c r="N16" s="10" t="str"/>
    </x:row>
    <x:row r="17" ht="35.25" customHeight="1">
      <x:c r="A17" s="8" t="str">
        <x:v>ENG-BR-ID-03</x:v>
      </x:c>
      <x:c r="B17" s="8" t="str">
        <x:v>WP01</x:v>
      </x:c>
      <x:c r="C17" s="8" t="str">
        <x:v>BR-ID-03</x:v>
      </x:c>
      <x:c r="D17" s="8" t="str">
        <x:v>FR-ID-03</x:v>
      </x:c>
      <x:c r="E17" s="8" t="str">
        <x:v>Authentication and recovery</x:v>
      </x:c>
      <x:c r="F17" s="8" t="str">
        <x:v>Use verified institutional authentication. Privileged users require MFA and recovery invalidates old sessions and devices.</x:v>
      </x:c>
      <x:c r="G17" s="8" t="str">
        <x:v>R1</x:v>
      </x:c>
      <x:c r="H17" s="8" t="str">
        <x:v>Must</x:v>
      </x:c>
      <x:c r="I17" s="10" t="str">
        <x:v>Not started</x:v>
      </x:c>
      <x:c r="J17" s="10" t="str">
        <x:v>Platform lead</x:v>
      </x:c>
      <x:c r="K17" s="8" t="str">
        <x:v>None</x:v>
      </x:c>
      <x:c r="L17" s="8" t="str">
        <x:v>TC-BR-ID-03-A TC-BR-ID-03-B</x:v>
      </x:c>
      <x:c r="M17" s="10" t="str">
        <x:v>Unestimated</x:v>
      </x:c>
      <x:c r="N17" s="10" t="str"/>
    </x:row>
    <x:row r="18" ht="35.25" customHeight="1">
      <x:c r="A18" s="7" t="str">
        <x:v>ENG-BR-ID-04</x:v>
      </x:c>
      <x:c r="B18" s="7" t="str">
        <x:v>WP01</x:v>
      </x:c>
      <x:c r="C18" s="7" t="str">
        <x:v>BR-ID-04</x:v>
      </x:c>
      <x:c r="D18" s="7" t="str">
        <x:v>FR-ID-04</x:v>
      </x:c>
      <x:c r="E18" s="7" t="str">
        <x:v>Caseload assignment and transfer</x:v>
      </x:c>
      <x:c r="F18" s="7" t="str">
        <x:v>Assignment changes carry effective dates and an explicit list of transferred open tasks with receiving ownership.</x:v>
      </x:c>
      <x:c r="G18" s="7" t="str">
        <x:v>R1</x:v>
      </x:c>
      <x:c r="H18" s="7" t="str">
        <x:v>Must</x:v>
      </x:c>
      <x:c r="I18" s="10" t="str">
        <x:v>Not started</x:v>
      </x:c>
      <x:c r="J18" s="10" t="str">
        <x:v>Platform lead</x:v>
      </x:c>
      <x:c r="K18" s="7" t="str">
        <x:v>None</x:v>
      </x:c>
      <x:c r="L18" s="7" t="str">
        <x:v>TC-BR-ID-04-A TC-BR-ID-04-B</x:v>
      </x:c>
      <x:c r="M18" s="10" t="str">
        <x:v>Unestimated</x:v>
      </x:c>
      <x:c r="N18" s="10" t="str"/>
    </x:row>
    <x:row r="19" ht="35.25" customHeight="1">
      <x:c r="A19" s="8" t="str">
        <x:v>ENG-BR-ID-05</x:v>
      </x:c>
      <x:c r="B19" s="8" t="str">
        <x:v>WP01</x:v>
      </x:c>
      <x:c r="C19" s="8" t="str">
        <x:v>BR-ID-05</x:v>
      </x:c>
      <x:c r="D19" s="8" t="str">
        <x:v>FR-ID-05</x:v>
      </x:c>
      <x:c r="E19" s="8" t="str">
        <x:v>Patient matching with human resolution</x:v>
      </x:c>
      <x:c r="F19" s="8" t="str">
        <x:v>Matching returns candidates with evidence and score only as assistance; a verified link needs an authorised person decision.</x:v>
      </x:c>
      <x:c r="G19" s="8" t="str">
        <x:v>R1</x:v>
      </x:c>
      <x:c r="H19" s="8" t="str">
        <x:v>Must</x:v>
      </x:c>
      <x:c r="I19" s="10" t="str">
        <x:v>Not started</x:v>
      </x:c>
      <x:c r="J19" s="10" t="str">
        <x:v>Platform lead</x:v>
      </x:c>
      <x:c r="K19" s="8" t="str">
        <x:v>None</x:v>
      </x:c>
      <x:c r="L19" s="8" t="str">
        <x:v>TC-BR-ID-05-A TC-BR-ID-05-B</x:v>
      </x:c>
      <x:c r="M19" s="10" t="str">
        <x:v>Unestimated</x:v>
      </x:c>
      <x:c r="N19" s="10" t="str"/>
    </x:row>
    <x:row r="20" ht="35.25" customHeight="1">
      <x:c r="A20" s="7" t="str">
        <x:v>ENG-BR-ID-06</x:v>
      </x:c>
      <x:c r="B20" s="7" t="str">
        <x:v>WP01</x:v>
      </x:c>
      <x:c r="C20" s="7" t="str">
        <x:v>BR-ID-06</x:v>
      </x:c>
      <x:c r="D20" s="7" t="str">
        <x:v>FR-ID-06</x:v>
      </x:c>
      <x:c r="E20" s="7" t="str">
        <x:v>Local registration without national identifier</x:v>
      </x:c>
      <x:c r="F20" s="7" t="str">
        <x:v>Create a local UUID before external linking. Required local demographics permit explicit unknown where programme rules allow.</x:v>
      </x:c>
      <x:c r="G20" s="7" t="str">
        <x:v>R1</x:v>
      </x:c>
      <x:c r="H20" s="7" t="str">
        <x:v>Must</x:v>
      </x:c>
      <x:c r="I20" s="10" t="str">
        <x:v>Not started</x:v>
      </x:c>
      <x:c r="J20" s="10" t="str">
        <x:v>Platform lead</x:v>
      </x:c>
      <x:c r="K20" s="7" t="str">
        <x:v>None</x:v>
      </x:c>
      <x:c r="L20" s="7" t="str">
        <x:v>TC-BR-ID-06-A TC-BR-ID-06-B</x:v>
      </x:c>
      <x:c r="M20" s="10" t="str">
        <x:v>Unestimated</x:v>
      </x:c>
      <x:c r="N20" s="10" t="str"/>
    </x:row>
    <x:row r="21" ht="35.25" customHeight="1">
      <x:c r="A21" s="8" t="str">
        <x:v>ENG-BR-ID-07</x:v>
      </x:c>
      <x:c r="B21" s="8" t="str">
        <x:v>WP01</x:v>
      </x:c>
      <x:c r="C21" s="8" t="str">
        <x:v>BR-ID-07</x:v>
      </x:c>
      <x:c r="D21" s="8" t="str">
        <x:v>FR-ID-07</x:v>
      </x:c>
      <x:c r="E21" s="8" t="str">
        <x:v>Household and proxy boundaries</x:v>
      </x:c>
      <x:c r="F21" s="8" t="str">
        <x:v>Proxy relationship includes relationship type, authority scope and evidence; household membership does not populate access grants.</x:v>
      </x:c>
      <x:c r="G21" s="8" t="str">
        <x:v>R1</x:v>
      </x:c>
      <x:c r="H21" s="8" t="str">
        <x:v>Must</x:v>
      </x:c>
      <x:c r="I21" s="10" t="str">
        <x:v>Not started</x:v>
      </x:c>
      <x:c r="J21" s="10" t="str">
        <x:v>Platform lead</x:v>
      </x:c>
      <x:c r="K21" s="8" t="str">
        <x:v>None</x:v>
      </x:c>
      <x:c r="L21" s="8" t="str">
        <x:v>TC-BR-ID-07-A TC-BR-ID-07-B</x:v>
      </x:c>
      <x:c r="M21" s="10" t="str">
        <x:v>Unestimated</x:v>
      </x:c>
      <x:c r="N21" s="10" t="str"/>
    </x:row>
    <x:row r="22" ht="35.25" customHeight="1">
      <x:c r="A22" s="7" t="str">
        <x:v>ENG-BR-ID-08</x:v>
      </x:c>
      <x:c r="B22" s="7" t="str">
        <x:v>WP01</x:v>
      </x:c>
      <x:c r="C22" s="7" t="str">
        <x:v>BR-ID-08</x:v>
      </x:c>
      <x:c r="D22" s="7" t="str">
        <x:v>FR-ID-08</x:v>
      </x:c>
      <x:c r="E22" s="7" t="str">
        <x:v>Correctable identity links</x:v>
      </x:c>
      <x:c r="F22" s="7" t="str">
        <x:v>Link correction appends a superseding relationship and generates a downstream repair list from lineage records.</x:v>
      </x:c>
      <x:c r="G22" s="7" t="str">
        <x:v>R1</x:v>
      </x:c>
      <x:c r="H22" s="7" t="str">
        <x:v>Must</x:v>
      </x:c>
      <x:c r="I22" s="10" t="str">
        <x:v>Not started</x:v>
      </x:c>
      <x:c r="J22" s="10" t="str">
        <x:v>Platform lead</x:v>
      </x:c>
      <x:c r="K22" s="7" t="str">
        <x:v>None</x:v>
      </x:c>
      <x:c r="L22" s="7" t="str">
        <x:v>TC-BR-ID-08-A TC-BR-ID-08-B</x:v>
      </x:c>
      <x:c r="M22" s="10" t="str">
        <x:v>Unestimated</x:v>
      </x:c>
      <x:c r="N22" s="10" t="str"/>
    </x:row>
    <x:row r="23" ht="35.25" customHeight="1">
      <x:c r="A23" s="8" t="str">
        <x:v>ENG-BR-ID-09</x:v>
      </x:c>
      <x:c r="B23" s="8" t="str">
        <x:v>WP01</x:v>
      </x:c>
      <x:c r="C23" s="8" t="str">
        <x:v>BR-ID-09</x:v>
      </x:c>
      <x:c r="D23" s="8" t="str">
        <x:v>FR-ID-09</x:v>
      </x:c>
      <x:c r="E23" s="8" t="str">
        <x:v>Service accounts and delegation</x:v>
      </x:c>
      <x:c r="F23" s="8" t="str">
        <x:v>Service identities have specific audiences and tools, rotated credentials and expiry; user tokens never become provider credentials.</x:v>
      </x:c>
      <x:c r="G23" s="8" t="str">
        <x:v>R1</x:v>
      </x:c>
      <x:c r="H23" s="8" t="str">
        <x:v>Must</x:v>
      </x:c>
      <x:c r="I23" s="10" t="str">
        <x:v>Not started</x:v>
      </x:c>
      <x:c r="J23" s="10" t="str">
        <x:v>Platform lead</x:v>
      </x:c>
      <x:c r="K23" s="8" t="str">
        <x:v>None</x:v>
      </x:c>
      <x:c r="L23" s="8" t="str">
        <x:v>TC-BR-ID-09-A TC-BR-ID-09-B</x:v>
      </x:c>
      <x:c r="M23" s="10" t="str">
        <x:v>Unestimated</x:v>
      </x:c>
      <x:c r="N23" s="10" t="str"/>
    </x:row>
    <x:row r="24" ht="35.25" customHeight="1">
      <x:c r="A24" s="7" t="str">
        <x:v>ENG-BR-ID-10</x:v>
      </x:c>
      <x:c r="B24" s="7" t="str">
        <x:v>WP01</x:v>
      </x:c>
      <x:c r="C24" s="7" t="str">
        <x:v>BR-ID-10</x:v>
      </x:c>
      <x:c r="D24" s="7" t="str">
        <x:v>FR-ID-10</x:v>
      </x:c>
      <x:c r="E24" s="7" t="str">
        <x:v>Organisational federation</x:v>
      </x:c>
      <x:c r="F24" s="7" t="str">
        <x:v>Federated groups map through reviewed local role mappings; an external group cannot grant an unmapped clinical privilege.</x:v>
      </x:c>
      <x:c r="G24" s="7" t="str">
        <x:v>R2</x:v>
      </x:c>
      <x:c r="H24" s="7" t="str">
        <x:v>Should</x:v>
      </x:c>
      <x:c r="I24" s="10" t="str">
        <x:v>Not started</x:v>
      </x:c>
      <x:c r="J24" s="10" t="str">
        <x:v>Platform lead</x:v>
      </x:c>
      <x:c r="K24" s="7" t="str">
        <x:v>None</x:v>
      </x:c>
      <x:c r="L24" s="7" t="str">
        <x:v>TC-BR-ID-10-A TC-BR-ID-10-B</x:v>
      </x:c>
      <x:c r="M24" s="10" t="str">
        <x:v>Unestimated</x:v>
      </x:c>
      <x:c r="N24" s="10" t="str"/>
    </x:row>
    <x:row r="25" ht="35.25" customHeight="1">
      <x:c r="A25" s="8" t="str">
        <x:v>ENG-BR-DATA-01</x:v>
      </x:c>
      <x:c r="B25" s="8" t="str">
        <x:v>WP03</x:v>
      </x:c>
      <x:c r="C25" s="8" t="str">
        <x:v>BR-DATA-01</x:v>
      </x:c>
      <x:c r="D25" s="8" t="str">
        <x:v>FR-DATA-01</x:v>
      </x:c>
      <x:c r="E25" s="8" t="str">
        <x:v>Shared question assembly</x:v>
      </x:c>
      <x:c r="F25" s="8" t="str">
        <x:v>Question equivalence requires the same semantic concept, person, episode, time window, unit and permitted purpose.</x:v>
      </x:c>
      <x:c r="G25" s="8" t="str">
        <x:v>R1</x:v>
      </x:c>
      <x:c r="H25" s="8" t="str">
        <x:v>Must</x:v>
      </x:c>
      <x:c r="I25" s="10" t="str">
        <x:v>Not started</x:v>
      </x:c>
      <x:c r="J25" s="10" t="str">
        <x:v>Workflow lead</x:v>
      </x:c>
      <x:c r="K25" s="8" t="str">
        <x:v>WP01 WP02</x:v>
      </x:c>
      <x:c r="L25" s="8" t="str">
        <x:v>TC-BR-DATA-01-A TC-BR-DATA-01-B</x:v>
      </x:c>
      <x:c r="M25" s="10" t="str">
        <x:v>Unestimated</x:v>
      </x:c>
      <x:c r="N25" s="10" t="str"/>
    </x:row>
    <x:row r="26" ht="35.25" customHeight="1">
      <x:c r="A26" s="7" t="str">
        <x:v>ENG-BR-DATA-02</x:v>
      </x:c>
      <x:c r="B26" s="7" t="str">
        <x:v>WP03</x:v>
      </x:c>
      <x:c r="C26" s="7" t="str">
        <x:v>BR-DATA-02</x:v>
      </x:c>
      <x:c r="D26" s="7" t="str">
        <x:v>FR-DATA-02</x:v>
      </x:c>
      <x:c r="E26" s="7" t="str">
        <x:v>Source and timing for every fact</x:v>
      </x:c>
      <x:c r="F26" s="7" t="str">
        <x:v>Each observation includes effective_at, recorded_at, source_type, verification, author and either value or absent_reason.</x:v>
      </x:c>
      <x:c r="G26" s="7" t="str">
        <x:v>R1</x:v>
      </x:c>
      <x:c r="H26" s="7" t="str">
        <x:v>Must</x:v>
      </x:c>
      <x:c r="I26" s="10" t="str">
        <x:v>Not started</x:v>
      </x:c>
      <x:c r="J26" s="10" t="str">
        <x:v>Workflow lead</x:v>
      </x:c>
      <x:c r="K26" s="7" t="str">
        <x:v>WP01 WP02</x:v>
      </x:c>
      <x:c r="L26" s="7" t="str">
        <x:v>TC-BR-DATA-02-A TC-BR-DATA-02-B</x:v>
      </x:c>
      <x:c r="M26" s="10" t="str">
        <x:v>Unestimated</x:v>
      </x:c>
      <x:c r="N26" s="10" t="str"/>
    </x:row>
    <x:row r="27" ht="35.25" customHeight="1">
      <x:c r="A27" s="8" t="str">
        <x:v>ENG-BR-DATA-03</x:v>
      </x:c>
      <x:c r="B27" s="8" t="str">
        <x:v>WP03</x:v>
      </x:c>
      <x:c r="C27" s="8" t="str">
        <x:v>BR-DATA-03</x:v>
      </x:c>
      <x:c r="D27" s="8" t="str">
        <x:v>FR-DATA-03</x:v>
      </x:c>
      <x:c r="E27" s="8" t="str">
        <x:v>Speech extraction as a draft</x:v>
      </x:c>
      <x:c r="F27" s="8" t="str">
        <x:v>Extraction stores original segment references and draft confidence markers; confirmation is an explicit separate command.</x:v>
      </x:c>
      <x:c r="G27" s="8" t="str">
        <x:v>R1</x:v>
      </x:c>
      <x:c r="H27" s="8" t="str">
        <x:v>Must</x:v>
      </x:c>
      <x:c r="I27" s="10" t="str">
        <x:v>Not started</x:v>
      </x:c>
      <x:c r="J27" s="10" t="str">
        <x:v>Workflow lead</x:v>
      </x:c>
      <x:c r="K27" s="8" t="str">
        <x:v>WP01 WP02</x:v>
      </x:c>
      <x:c r="L27" s="8" t="str">
        <x:v>TC-BR-DATA-03-A TC-BR-DATA-03-B</x:v>
      </x:c>
      <x:c r="M27" s="10" t="str">
        <x:v>Unestimated</x:v>
      </x:c>
      <x:c r="N27" s="10" t="str"/>
    </x:row>
    <x:row r="28" ht="35.25" customHeight="1">
      <x:c r="A28" s="7" t="str">
        <x:v>ENG-BR-DATA-04</x:v>
      </x:c>
      <x:c r="B28" s="7" t="str">
        <x:v>WP03</x:v>
      </x:c>
      <x:c r="C28" s="7" t="str">
        <x:v>BR-DATA-04</x:v>
      </x:c>
      <x:c r="D28" s="7" t="str">
        <x:v>FR-DATA-04</x:v>
      </x:c>
      <x:c r="E28" s="7" t="str">
        <x:v>Freshness and relevance</x:v>
      </x:c>
      <x:c r="F28" s="7" t="str">
        <x:v>Freshness is evaluated from effective time against the active pack requirement, not server receipt time.</x:v>
      </x:c>
      <x:c r="G28" s="7" t="str">
        <x:v>R1</x:v>
      </x:c>
      <x:c r="H28" s="7" t="str">
        <x:v>Must</x:v>
      </x:c>
      <x:c r="I28" s="10" t="str">
        <x:v>Not started</x:v>
      </x:c>
      <x:c r="J28" s="10" t="str">
        <x:v>Workflow lead</x:v>
      </x:c>
      <x:c r="K28" s="7" t="str">
        <x:v>WP01 WP02</x:v>
      </x:c>
      <x:c r="L28" s="7" t="str">
        <x:v>TC-BR-DATA-04-A TC-BR-DATA-04-B</x:v>
      </x:c>
      <x:c r="M28" s="10" t="str">
        <x:v>Unestimated</x:v>
      </x:c>
      <x:c r="N28" s="10" t="str"/>
    </x:row>
    <x:row r="29" ht="35.25" customHeight="1">
      <x:c r="A29" s="8" t="str">
        <x:v>ENG-BR-DATA-05</x:v>
      </x:c>
      <x:c r="B29" s="8" t="str">
        <x:v>WP03</x:v>
      </x:c>
      <x:c r="C29" s="8" t="str">
        <x:v>BR-DATA-05</x:v>
      </x:c>
      <x:c r="D29" s="8" t="str">
        <x:v>FR-DATA-05</x:v>
      </x:c>
      <x:c r="E29" s="8" t="str">
        <x:v>Validation without fabrication</x:v>
      </x:c>
      <x:c r="F29" s="8" t="str">
        <x:v>Validation returns field paths and reason codes. Permitted outlier overrides require a scoped reviewer and reason.</x:v>
      </x:c>
      <x:c r="G29" s="8" t="str">
        <x:v>R1</x:v>
      </x:c>
      <x:c r="H29" s="8" t="str">
        <x:v>Must</x:v>
      </x:c>
      <x:c r="I29" s="10" t="str">
        <x:v>Not started</x:v>
      </x:c>
      <x:c r="J29" s="10" t="str">
        <x:v>Workflow lead</x:v>
      </x:c>
      <x:c r="K29" s="8" t="str">
        <x:v>WP01 WP02</x:v>
      </x:c>
      <x:c r="L29" s="8" t="str">
        <x:v>TC-BR-DATA-05-A TC-BR-DATA-05-B</x:v>
      </x:c>
      <x:c r="M29" s="10" t="str">
        <x:v>Unestimated</x:v>
      </x:c>
      <x:c r="N29" s="10" t="str"/>
    </x:row>
    <x:row r="30" ht="35.25" customHeight="1">
      <x:c r="A30" s="7" t="str">
        <x:v>ENG-BR-DATA-06</x:v>
      </x:c>
      <x:c r="B30" s="7" t="str">
        <x:v>WP03</x:v>
      </x:c>
      <x:c r="C30" s="7" t="str">
        <x:v>BR-DATA-06</x:v>
      </x:c>
      <x:c r="D30" s="7" t="str">
        <x:v>FR-DATA-06</x:v>
      </x:c>
      <x:c r="E30" s="7" t="str">
        <x:v>Traceable amendments</x:v>
      </x:c>
      <x:c r="F30" s="7" t="str">
        <x:v>Amendment records supersedes_id and reason. Lineage locates dependent plans, model results and submissions.</x:v>
      </x:c>
      <x:c r="G30" s="7" t="str">
        <x:v>R1</x:v>
      </x:c>
      <x:c r="H30" s="7" t="str">
        <x:v>Must</x:v>
      </x:c>
      <x:c r="I30" s="10" t="str">
        <x:v>Not started</x:v>
      </x:c>
      <x:c r="J30" s="10" t="str">
        <x:v>Workflow lead</x:v>
      </x:c>
      <x:c r="K30" s="7" t="str">
        <x:v>WP01 WP02</x:v>
      </x:c>
      <x:c r="L30" s="7" t="str">
        <x:v>TC-BR-DATA-06-A TC-BR-DATA-06-B</x:v>
      </x:c>
      <x:c r="M30" s="10" t="str">
        <x:v>Unestimated</x:v>
      </x:c>
      <x:c r="N30" s="10" t="str"/>
    </x:row>
    <x:row r="31" ht="35.25" customHeight="1">
      <x:c r="A31" s="8" t="str">
        <x:v>ENG-BR-DATA-07</x:v>
      </x:c>
      <x:c r="B31" s="8" t="str">
        <x:v>WP03</x:v>
      </x:c>
      <x:c r="C31" s="8" t="str">
        <x:v>BR-DATA-07</x:v>
      </x:c>
      <x:c r="D31" s="8" t="str">
        <x:v>FR-DATA-07</x:v>
      </x:c>
      <x:c r="E31" s="8" t="str">
        <x:v>Concurrent edits</x:v>
      </x:c>
      <x:c r="F31" s="8" t="str">
        <x:v>Compare expected record version before commit. Store both candidate revisions and a conflict object on collision.</x:v>
      </x:c>
      <x:c r="G31" s="8" t="str">
        <x:v>R1</x:v>
      </x:c>
      <x:c r="H31" s="8" t="str">
        <x:v>Must</x:v>
      </x:c>
      <x:c r="I31" s="10" t="str">
        <x:v>Not started</x:v>
      </x:c>
      <x:c r="J31" s="10" t="str">
        <x:v>Workflow lead</x:v>
      </x:c>
      <x:c r="K31" s="8" t="str">
        <x:v>WP01 WP02</x:v>
      </x:c>
      <x:c r="L31" s="8" t="str">
        <x:v>TC-BR-DATA-07-A TC-BR-DATA-07-B</x:v>
      </x:c>
      <x:c r="M31" s="10" t="str">
        <x:v>Unestimated</x:v>
      </x:c>
      <x:c r="N31" s="10" t="str"/>
    </x:row>
    <x:row r="32" ht="35.25" customHeight="1">
      <x:c r="A32" s="7" t="str">
        <x:v>ENG-BR-DATA-08</x:v>
      </x:c>
      <x:c r="B32" s="7" t="str">
        <x:v>WP03</x:v>
      </x:c>
      <x:c r="C32" s="7" t="str">
        <x:v>BR-DATA-08</x:v>
      </x:c>
      <x:c r="D32" s="7" t="str">
        <x:v>FR-DATA-08</x:v>
      </x:c>
      <x:c r="E32" s="7" t="str">
        <x:v>Documents and media</x:v>
      </x:c>
      <x:c r="F32" s="7" t="str">
        <x:v>Media progresses through uploaded, scanned, quality_checked and available. Extracted fields preserve source offsets.</x:v>
      </x:c>
      <x:c r="G32" s="7" t="str">
        <x:v>R1</x:v>
      </x:c>
      <x:c r="H32" s="7" t="str">
        <x:v>Must</x:v>
      </x:c>
      <x:c r="I32" s="10" t="str">
        <x:v>Not started</x:v>
      </x:c>
      <x:c r="J32" s="10" t="str">
        <x:v>Workflow lead</x:v>
      </x:c>
      <x:c r="K32" s="7" t="str">
        <x:v>WP01 WP02</x:v>
      </x:c>
      <x:c r="L32" s="7" t="str">
        <x:v>TC-BR-DATA-08-A TC-BR-DATA-08-B</x:v>
      </x:c>
      <x:c r="M32" s="10" t="str">
        <x:v>Unestimated</x:v>
      </x:c>
      <x:c r="N32" s="10" t="str"/>
    </x:row>
    <x:row r="33" ht="35.25" customHeight="1">
      <x:c r="A33" s="8" t="str">
        <x:v>ENG-BR-DATA-09</x:v>
      </x:c>
      <x:c r="B33" s="8" t="str">
        <x:v>WP03</x:v>
      </x:c>
      <x:c r="C33" s="8" t="str">
        <x:v>BR-DATA-09</x:v>
      </x:c>
      <x:c r="D33" s="8" t="str">
        <x:v>FR-DATA-09</x:v>
      </x:c>
      <x:c r="E33" s="8" t="str">
        <x:v>Authoritative field mapping</x:v>
      </x:c>
      <x:c r="F33" s="8" t="str">
        <x:v>Mapping packages contain source field, target field, transformation, unit and null semantics plus conformance fixtures.</x:v>
      </x:c>
      <x:c r="G33" s="8" t="str">
        <x:v>R1</x:v>
      </x:c>
      <x:c r="H33" s="8" t="str">
        <x:v>Must</x:v>
      </x:c>
      <x:c r="I33" s="10" t="str">
        <x:v>Not started</x:v>
      </x:c>
      <x:c r="J33" s="10" t="str">
        <x:v>Workflow lead</x:v>
      </x:c>
      <x:c r="K33" s="8" t="str">
        <x:v>WP01 WP02</x:v>
      </x:c>
      <x:c r="L33" s="8" t="str">
        <x:v>TC-BR-DATA-09-A TC-BR-DATA-09-B</x:v>
      </x:c>
      <x:c r="M33" s="10" t="str">
        <x:v>Unestimated</x:v>
      </x:c>
      <x:c r="N33" s="10" t="str"/>
    </x:row>
    <x:row r="34" ht="35.25" customHeight="1">
      <x:c r="A34" s="7" t="str">
        <x:v>ENG-BR-DATA-10</x:v>
      </x:c>
      <x:c r="B34" s="7" t="str">
        <x:v>WP03</x:v>
      </x:c>
      <x:c r="C34" s="7" t="str">
        <x:v>BR-DATA-10</x:v>
      </x:c>
      <x:c r="D34" s="7" t="str">
        <x:v>FR-DATA-10</x:v>
      </x:c>
      <x:c r="E34" s="7" t="str">
        <x:v>Selective permitted reuse</x:v>
      </x:c>
      <x:c r="F34" s="7" t="str">
        <x:v>Each action creates a field allowlist from the approved destination and purpose; a source fact can have several permitted uses.</x:v>
      </x:c>
      <x:c r="G34" s="7" t="str">
        <x:v>R1</x:v>
      </x:c>
      <x:c r="H34" s="7" t="str">
        <x:v>Must</x:v>
      </x:c>
      <x:c r="I34" s="10" t="str">
        <x:v>Not started</x:v>
      </x:c>
      <x:c r="J34" s="10" t="str">
        <x:v>Workflow lead</x:v>
      </x:c>
      <x:c r="K34" s="7" t="str">
        <x:v>WP01 WP02</x:v>
      </x:c>
      <x:c r="L34" s="7" t="str">
        <x:v>TC-BR-DATA-10-A TC-BR-DATA-10-B</x:v>
      </x:c>
      <x:c r="M34" s="10" t="str">
        <x:v>Unestimated</x:v>
      </x:c>
      <x:c r="N34" s="10" t="str"/>
    </x:row>
    <x:row r="35" ht="35.25" customHeight="1">
      <x:c r="A35" s="8" t="str">
        <x:v>ENG-BR-DATA-11</x:v>
      </x:c>
      <x:c r="B35" s="8" t="str">
        <x:v>WP03</x:v>
      </x:c>
      <x:c r="C35" s="8" t="str">
        <x:v>BR-DATA-11</x:v>
      </x:c>
      <x:c r="D35" s="8" t="str">
        <x:v>FR-DATA-11</x:v>
      </x:c>
      <x:c r="E35" s="8" t="str">
        <x:v>Controlled migration</x:v>
      </x:c>
      <x:c r="F35" s="8" t="str">
        <x:v>Migration runs produce source totals, parsed totals, rejected rows, duplicate candidates and reversible import batch IDs.</x:v>
      </x:c>
      <x:c r="G35" s="8" t="str">
        <x:v>R2</x:v>
      </x:c>
      <x:c r="H35" s="8" t="str">
        <x:v>Should</x:v>
      </x:c>
      <x:c r="I35" s="10" t="str">
        <x:v>Not started</x:v>
      </x:c>
      <x:c r="J35" s="10" t="str">
        <x:v>Workflow lead</x:v>
      </x:c>
      <x:c r="K35" s="8" t="str">
        <x:v>WP01 WP02</x:v>
      </x:c>
      <x:c r="L35" s="8" t="str">
        <x:v>TC-BR-DATA-11-A TC-BR-DATA-11-B</x:v>
      </x:c>
      <x:c r="M35" s="10" t="str">
        <x:v>Unestimated</x:v>
      </x:c>
      <x:c r="N35" s="10" t="str"/>
    </x:row>
    <x:row r="36" ht="35.25" customHeight="1">
      <x:c r="A36" s="7" t="str">
        <x:v>ENG-BR-DATA-12</x:v>
      </x:c>
      <x:c r="B36" s="7" t="str">
        <x:v>WP03</x:v>
      </x:c>
      <x:c r="C36" s="7" t="str">
        <x:v>BR-DATA-12</x:v>
      </x:c>
      <x:c r="D36" s="7" t="str">
        <x:v>FR-DATA-12</x:v>
      </x:c>
      <x:c r="E36" s="7" t="str">
        <x:v>Measurement of actual reuse</x:v>
      </x:c>
      <x:c r="F36" s="7" t="str">
        <x:v>Reuse opportunities are logged before question display, with reasons for reuse, recapture or blocked reuse.</x:v>
      </x:c>
      <x:c r="G36" s="7" t="str">
        <x:v>R1</x:v>
      </x:c>
      <x:c r="H36" s="7" t="str">
        <x:v>Must</x:v>
      </x:c>
      <x:c r="I36" s="10" t="str">
        <x:v>Not started</x:v>
      </x:c>
      <x:c r="J36" s="10" t="str">
        <x:v>Workflow lead</x:v>
      </x:c>
      <x:c r="K36" s="7" t="str">
        <x:v>WP01 WP02</x:v>
      </x:c>
      <x:c r="L36" s="7" t="str">
        <x:v>TC-BR-DATA-12-A TC-BR-DATA-12-B</x:v>
      </x:c>
      <x:c r="M36" s="10" t="str">
        <x:v>Unestimated</x:v>
      </x:c>
      <x:c r="N36" s="10" t="str"/>
    </x:row>
    <x:row r="37" ht="35.25" customHeight="1">
      <x:c r="A37" s="8" t="str">
        <x:v>ENG-BR-PROG-01</x:v>
      </x:c>
      <x:c r="B37" s="8" t="str">
        <x:v>WP04</x:v>
      </x:c>
      <x:c r="C37" s="8" t="str">
        <x:v>BR-PROG-01</x:v>
      </x:c>
      <x:c r="D37" s="8" t="str">
        <x:v>FR-PROG-01</x:v>
      </x:c>
      <x:c r="E37" s="8" t="str">
        <x:v>Versioned programme packs</x:v>
      </x:c>
      <x:c r="F37" s="8" t="str">
        <x:v>Activation requires valid schemas, approved mappings, effective dates and named programme and clinical approvals.</x:v>
      </x:c>
      <x:c r="G37" s="8" t="str">
        <x:v>R1</x:v>
      </x:c>
      <x:c r="H37" s="8" t="str">
        <x:v>Must</x:v>
      </x:c>
      <x:c r="I37" s="10" t="str">
        <x:v>Not started</x:v>
      </x:c>
      <x:c r="J37" s="10" t="str">
        <x:v>Programme lead</x:v>
      </x:c>
      <x:c r="K37" s="8" t="str">
        <x:v>WP03</x:v>
      </x:c>
      <x:c r="L37" s="8" t="str">
        <x:v>TC-BR-PROG-01-A TC-BR-PROG-01-B</x:v>
      </x:c>
      <x:c r="M37" s="10" t="str">
        <x:v>Unestimated</x:v>
      </x:c>
      <x:c r="N37" s="10" t="str"/>
    </x:row>
    <x:row r="38" ht="35.25" customHeight="1">
      <x:c r="A38" s="7" t="str">
        <x:v>ENG-BR-PROG-02</x:v>
      </x:c>
      <x:c r="B38" s="7" t="str">
        <x:v>WP04</x:v>
      </x:c>
      <x:c r="C38" s="7" t="str">
        <x:v>BR-PROG-02</x:v>
      </x:c>
      <x:c r="D38" s="7" t="str">
        <x:v>FR-PROG-02</x:v>
      </x:c>
      <x:c r="E38" s="7" t="str">
        <x:v>Maternal health workflow</x:v>
      </x:c>
      <x:c r="F38" s="7" t="str">
        <x:v>Maternal records use an episode identifier and outcome state; unknown dates are stored as unknown with task follow-up.</x:v>
      </x:c>
      <x:c r="G38" s="7" t="str">
        <x:v>R1</x:v>
      </x:c>
      <x:c r="H38" s="7" t="str">
        <x:v>Must</x:v>
      </x:c>
      <x:c r="I38" s="10" t="str">
        <x:v>Not started</x:v>
      </x:c>
      <x:c r="J38" s="10" t="str">
        <x:v>Programme lead</x:v>
      </x:c>
      <x:c r="K38" s="7" t="str">
        <x:v>WP03</x:v>
      </x:c>
      <x:c r="L38" s="7" t="str">
        <x:v>TC-BR-PROG-02-A TC-BR-PROG-02-B</x:v>
      </x:c>
      <x:c r="M38" s="10" t="str">
        <x:v>Unestimated</x:v>
      </x:c>
      <x:c r="N38" s="10" t="str"/>
    </x:row>
    <x:row r="39" ht="35.25" customHeight="1">
      <x:c r="A39" s="8" t="str">
        <x:v>ENG-BR-PROG-03</x:v>
      </x:c>
      <x:c r="B39" s="8" t="str">
        <x:v>WP04</x:v>
      </x:c>
      <x:c r="C39" s="8" t="str">
        <x:v>BR-PROG-03</x:v>
      </x:c>
      <x:c r="D39" s="8" t="str">
        <x:v>FR-PROG-03</x:v>
      </x:c>
      <x:c r="E39" s="8" t="str">
        <x:v>TB screening workflow</x:v>
      </x:c>
      <x:c r="F39" s="8" t="str">
        <x:v>TB screening and programme registration are separate workflows with separate confirmation and receipt states.</x:v>
      </x:c>
      <x:c r="G39" s="8" t="str">
        <x:v>R1</x:v>
      </x:c>
      <x:c r="H39" s="8" t="str">
        <x:v>Must</x:v>
      </x:c>
      <x:c r="I39" s="10" t="str">
        <x:v>Not started</x:v>
      </x:c>
      <x:c r="J39" s="10" t="str">
        <x:v>Programme lead</x:v>
      </x:c>
      <x:c r="K39" s="8" t="str">
        <x:v>WP03</x:v>
      </x:c>
      <x:c r="L39" s="8" t="str">
        <x:v>TC-BR-PROG-03-A TC-BR-PROG-03-B</x:v>
      </x:c>
      <x:c r="M39" s="10" t="str">
        <x:v>Unestimated</x:v>
      </x:c>
      <x:c r="N39" s="10" t="str"/>
    </x:row>
    <x:row r="40" ht="35.25" customHeight="1">
      <x:c r="A40" s="7" t="str">
        <x:v>ENG-BR-PROG-04</x:v>
      </x:c>
      <x:c r="B40" s="7" t="str">
        <x:v>WP04</x:v>
      </x:c>
      <x:c r="C40" s="7" t="str">
        <x:v>BR-PROG-04</x:v>
      </x:c>
      <x:c r="D40" s="7" t="str">
        <x:v>FR-PROG-04</x:v>
      </x:c>
      <x:c r="E40" s="7" t="str">
        <x:v>Hypertension follow-up workflow</x:v>
      </x:c>
      <x:c r="F40" s="7" t="str">
        <x:v>Measurements include device or observer, time, unit and context. Reported medicines are not signed prescriptions.</x:v>
      </x:c>
      <x:c r="G40" s="7" t="str">
        <x:v>R1</x:v>
      </x:c>
      <x:c r="H40" s="7" t="str">
        <x:v>Must</x:v>
      </x:c>
      <x:c r="I40" s="10" t="str">
        <x:v>Not started</x:v>
      </x:c>
      <x:c r="J40" s="10" t="str">
        <x:v>Programme lead</x:v>
      </x:c>
      <x:c r="K40" s="7" t="str">
        <x:v>WP03</x:v>
      </x:c>
      <x:c r="L40" s="7" t="str">
        <x:v>TC-BR-PROG-04-A TC-BR-PROG-04-B</x:v>
      </x:c>
      <x:c r="M40" s="10" t="str">
        <x:v>Unestimated</x:v>
      </x:c>
      <x:c r="N40" s="10" t="str"/>
    </x:row>
    <x:row r="41" ht="35.25" customHeight="1">
      <x:c r="A41" s="8" t="str">
        <x:v>ENG-BR-PROG-05</x:v>
      </x:c>
      <x:c r="B41" s="8" t="str">
        <x:v>WP04</x:v>
      </x:c>
      <x:c r="C41" s="8" t="str">
        <x:v>BR-PROG-05</x:v>
      </x:c>
      <x:c r="D41" s="8" t="str">
        <x:v>FR-PROG-05</x:v>
      </x:c>
      <x:c r="E41" s="8" t="str">
        <x:v>Cross-programme scheduling</x:v>
      </x:c>
      <x:c r="F41" s="8" t="str">
        <x:v>Scheduling joins compatible tasks into a visit plan while preserving programme due dates and completion conditions.</x:v>
      </x:c>
      <x:c r="G41" s="8" t="str">
        <x:v>R1</x:v>
      </x:c>
      <x:c r="H41" s="8" t="str">
        <x:v>Must</x:v>
      </x:c>
      <x:c r="I41" s="10" t="str">
        <x:v>Not started</x:v>
      </x:c>
      <x:c r="J41" s="10" t="str">
        <x:v>Programme lead</x:v>
      </x:c>
      <x:c r="K41" s="8" t="str">
        <x:v>WP03</x:v>
      </x:c>
      <x:c r="L41" s="8" t="str">
        <x:v>TC-BR-PROG-05-A TC-BR-PROG-05-B</x:v>
      </x:c>
      <x:c r="M41" s="10" t="str">
        <x:v>Unestimated</x:v>
      </x:c>
      <x:c r="N41" s="10" t="str"/>
    </x:row>
    <x:row r="42" ht="35.25" customHeight="1">
      <x:c r="A42" s="7" t="str">
        <x:v>ENG-BR-PROG-06</x:v>
      </x:c>
      <x:c r="B42" s="7" t="str">
        <x:v>WP04</x:v>
      </x:c>
      <x:c r="C42" s="7" t="str">
        <x:v>BR-PROG-06</x:v>
      </x:c>
      <x:c r="D42" s="7" t="str">
        <x:v>FR-PROG-06</x:v>
      </x:c>
      <x:c r="E42" s="7" t="str">
        <x:v>Eligibility and enrolment distinction</x:v>
      </x:c>
      <x:c r="F42" s="7" t="str">
        <x:v>Enrolment stores eligibility_assessment and external_registration independently; only a verified receipt confirms the latter.</x:v>
      </x:c>
      <x:c r="G42" s="7" t="str">
        <x:v>R1</x:v>
      </x:c>
      <x:c r="H42" s="7" t="str">
        <x:v>Must</x:v>
      </x:c>
      <x:c r="I42" s="10" t="str">
        <x:v>Not started</x:v>
      </x:c>
      <x:c r="J42" s="10" t="str">
        <x:v>Programme lead</x:v>
      </x:c>
      <x:c r="K42" s="7" t="str">
        <x:v>WP03</x:v>
      </x:c>
      <x:c r="L42" s="7" t="str">
        <x:v>TC-BR-PROG-06-A TC-BR-PROG-06-B</x:v>
      </x:c>
      <x:c r="M42" s="10" t="str">
        <x:v>Unestimated</x:v>
      </x:c>
      <x:c r="N42" s="10" t="str"/>
    </x:row>
    <x:row r="43" ht="35.25" customHeight="1">
      <x:c r="A43" s="8" t="str">
        <x:v>ENG-BR-PROG-07</x:v>
      </x:c>
      <x:c r="B43" s="8" t="str">
        <x:v>WP04</x:v>
      </x:c>
      <x:c r="C43" s="8" t="str">
        <x:v>BR-PROG-07</x:v>
      </x:c>
      <x:c r="D43" s="8" t="str">
        <x:v>FR-PROG-07</x:v>
      </x:c>
      <x:c r="E43" s="8" t="str">
        <x:v>Protocol change and case continuity</x:v>
      </x:c>
      <x:c r="F43" s="8" t="str">
        <x:v>Pack migration computes affected open cases and applies an approved transition plan at an effective timestamp.</x:v>
      </x:c>
      <x:c r="G43" s="8" t="str">
        <x:v>R1</x:v>
      </x:c>
      <x:c r="H43" s="8" t="str">
        <x:v>Must</x:v>
      </x:c>
      <x:c r="I43" s="10" t="str">
        <x:v>Not started</x:v>
      </x:c>
      <x:c r="J43" s="10" t="str">
        <x:v>Programme lead</x:v>
      </x:c>
      <x:c r="K43" s="8" t="str">
        <x:v>WP03</x:v>
      </x:c>
      <x:c r="L43" s="8" t="str">
        <x:v>TC-BR-PROG-07-A TC-BR-PROG-07-B</x:v>
      </x:c>
      <x:c r="M43" s="10" t="str">
        <x:v>Unestimated</x:v>
      </x:c>
      <x:c r="N43" s="10" t="str"/>
    </x:row>
    <x:row r="44" ht="35.25" customHeight="1">
      <x:c r="A44" s="7" t="str">
        <x:v>ENG-BR-PROG-08</x:v>
      </x:c>
      <x:c r="B44" s="7" t="str">
        <x:v>WP04</x:v>
      </x:c>
      <x:c r="C44" s="7" t="str">
        <x:v>BR-PROG-08</x:v>
      </x:c>
      <x:c r="D44" s="7" t="str">
        <x:v>FR-PROG-08</x:v>
      </x:c>
      <x:c r="E44" s="7" t="str">
        <x:v>Additional programme packs</x:v>
      </x:c>
      <x:c r="F44" s="7" t="str">
        <x:v>Additional packs use the same schema with their own definitions and reviewed value sets; pack IDs remain stable across versions.</x:v>
      </x:c>
      <x:c r="G44" s="7" t="str">
        <x:v>R2</x:v>
      </x:c>
      <x:c r="H44" s="7" t="str">
        <x:v>Should</x:v>
      </x:c>
      <x:c r="I44" s="10" t="str">
        <x:v>Not started</x:v>
      </x:c>
      <x:c r="J44" s="10" t="str">
        <x:v>Programme lead</x:v>
      </x:c>
      <x:c r="K44" s="7" t="str">
        <x:v>WP03</x:v>
      </x:c>
      <x:c r="L44" s="7" t="str">
        <x:v>TC-BR-PROG-08-A TC-BR-PROG-08-B</x:v>
      </x:c>
      <x:c r="M44" s="10" t="str">
        <x:v>Unestimated</x:v>
      </x:c>
      <x:c r="N44" s="10" t="str"/>
    </x:row>
    <x:row r="45" ht="35.25" customHeight="1">
      <x:c r="A45" s="8" t="str">
        <x:v>ENG-BR-AG-01</x:v>
      </x:c>
      <x:c r="B45" s="8" t="str">
        <x:v>WP05</x:v>
      </x:c>
      <x:c r="C45" s="8" t="str">
        <x:v>BR-AG-01</x:v>
      </x:c>
      <x:c r="D45" s="8" t="str">
        <x:v>FR-AG-01</x:v>
      </x:c>
      <x:c r="E45" s="8" t="str">
        <x:v>Bounded task planning</x:v>
      </x:c>
      <x:c r="F45" s="8" t="str">
        <x:v>Plan nodes are typed tool calls with dependencies, limits and authority class. Free text cannot create a new action type.</x:v>
      </x:c>
      <x:c r="G45" s="8" t="str">
        <x:v>R1</x:v>
      </x:c>
      <x:c r="H45" s="8" t="str">
        <x:v>Must</x:v>
      </x:c>
      <x:c r="I45" s="10" t="str">
        <x:v>Not started</x:v>
      </x:c>
      <x:c r="J45" s="10" t="str">
        <x:v>AI engineering lead</x:v>
      </x:c>
      <x:c r="K45" s="8" t="str">
        <x:v>WP02 WP03 WP04</x:v>
      </x:c>
      <x:c r="L45" s="8" t="str">
        <x:v>TC-BR-AG-01-A TC-BR-AG-01-B</x:v>
      </x:c>
      <x:c r="M45" s="10" t="str">
        <x:v>Unestimated</x:v>
      </x:c>
      <x:c r="N45" s="10" t="str"/>
    </x:row>
    <x:row r="46" ht="35.25" customHeight="1">
      <x:c r="A46" s="7" t="str">
        <x:v>ENG-BR-AG-02</x:v>
      </x:c>
      <x:c r="B46" s="7" t="str">
        <x:v>WP05</x:v>
      </x:c>
      <x:c r="C46" s="7" t="str">
        <x:v>BR-AG-02</x:v>
      </x:c>
      <x:c r="D46" s="7" t="str">
        <x:v>FR-AG-02</x:v>
      </x:c>
      <x:c r="E46" s="7" t="str">
        <x:v>Context restricted to the task</x:v>
      </x:c>
      <x:c r="F46" s="7" t="str">
        <x:v>Retrieve only authorised fields referenced by the current task; cache keys include tenant, person, purpose and policy version.</x:v>
      </x:c>
      <x:c r="G46" s="7" t="str">
        <x:v>R1</x:v>
      </x:c>
      <x:c r="H46" s="7" t="str">
        <x:v>Must</x:v>
      </x:c>
      <x:c r="I46" s="10" t="str">
        <x:v>Not started</x:v>
      </x:c>
      <x:c r="J46" s="10" t="str">
        <x:v>AI engineering lead</x:v>
      </x:c>
      <x:c r="K46" s="7" t="str">
        <x:v>WP02 WP03 WP04</x:v>
      </x:c>
      <x:c r="L46" s="7" t="str">
        <x:v>TC-BR-AG-02-A TC-BR-AG-02-B</x:v>
      </x:c>
      <x:c r="M46" s="10" t="str">
        <x:v>Unestimated</x:v>
      </x:c>
      <x:c r="N46" s="10" t="str"/>
    </x:row>
    <x:row r="47" ht="35.25" customHeight="1">
      <x:c r="A47" s="8" t="str">
        <x:v>ENG-BR-AG-03</x:v>
      </x:c>
      <x:c r="B47" s="8" t="str">
        <x:v>WP05</x:v>
      </x:c>
      <x:c r="C47" s="8" t="str">
        <x:v>BR-AG-03</x:v>
      </x:c>
      <x:c r="D47" s="8" t="str">
        <x:v>FR-AG-03</x:v>
      </x:c>
      <x:c r="E47" s="8" t="str">
        <x:v>Eligibility before tool selection</x:v>
      </x:c>
      <x:c r="F47" s="8" t="str">
        <x:v>The eligibility filter precedes cost or latency ranking and records excluded tools with machine-readable reasons.</x:v>
      </x:c>
      <x:c r="G47" s="8" t="str">
        <x:v>R1</x:v>
      </x:c>
      <x:c r="H47" s="8" t="str">
        <x:v>Must</x:v>
      </x:c>
      <x:c r="I47" s="10" t="str">
        <x:v>Not started</x:v>
      </x:c>
      <x:c r="J47" s="10" t="str">
        <x:v>AI engineering lead</x:v>
      </x:c>
      <x:c r="K47" s="8" t="str">
        <x:v>WP02 WP03 WP04</x:v>
      </x:c>
      <x:c r="L47" s="8" t="str">
        <x:v>TC-BR-AG-03-A TC-BR-AG-03-B</x:v>
      </x:c>
      <x:c r="M47" s="10" t="str">
        <x:v>Unestimated</x:v>
      </x:c>
      <x:c r="N47" s="10" t="str"/>
    </x:row>
    <x:row r="48" ht="35.25" customHeight="1">
      <x:c r="A48" s="7" t="str">
        <x:v>ENG-BR-AG-04</x:v>
      </x:c>
      <x:c r="B48" s="7" t="str">
        <x:v>WP05</x:v>
      </x:c>
      <x:c r="C48" s="7" t="str">
        <x:v>BR-AG-04</x:v>
      </x:c>
      <x:c r="D48" s="7" t="str">
        <x:v>FR-AG-04</x:v>
      </x:c>
      <x:c r="E48" s="7" t="str">
        <x:v>Approved execution paths</x:v>
      </x:c>
      <x:c r="F48" s="7" t="str">
        <x:v>Tool arguments validate against closed schemas; executable action names are resolved only from the trusted registry.</x:v>
      </x:c>
      <x:c r="G48" s="7" t="str">
        <x:v>R1</x:v>
      </x:c>
      <x:c r="H48" s="7" t="str">
        <x:v>Must</x:v>
      </x:c>
      <x:c r="I48" s="10" t="str">
        <x:v>Not started</x:v>
      </x:c>
      <x:c r="J48" s="10" t="str">
        <x:v>AI engineering lead</x:v>
      </x:c>
      <x:c r="K48" s="7" t="str">
        <x:v>WP02 WP03 WP04</x:v>
      </x:c>
      <x:c r="L48" s="7" t="str">
        <x:v>TC-BR-AG-04-A TC-BR-AG-04-B</x:v>
      </x:c>
      <x:c r="M48" s="10" t="str">
        <x:v>Unestimated</x:v>
      </x:c>
      <x:c r="N48" s="10" t="str"/>
    </x:row>
    <x:row r="49" ht="35.25" customHeight="1">
      <x:c r="A49" s="8" t="str">
        <x:v>ENG-BR-AG-05</x:v>
      </x:c>
      <x:c r="B49" s="8" t="str">
        <x:v>WP05</x:v>
      </x:c>
      <x:c r="C49" s="8" t="str">
        <x:v>BR-AG-05</x:v>
      </x:c>
      <x:c r="D49" s="8" t="str">
        <x:v>FR-AG-05</x:v>
      </x:c>
      <x:c r="E49" s="8" t="str">
        <x:v>Human authority at action boundaries</x:v>
      </x:c>
      <x:c r="F49" s="8" t="str">
        <x:v>Approval hashes bind actor, resource versions, action, recipient, purpose and capability versions; the executor checks them.</x:v>
      </x:c>
      <x:c r="G49" s="8" t="str">
        <x:v>R1</x:v>
      </x:c>
      <x:c r="H49" s="8" t="str">
        <x:v>Must</x:v>
      </x:c>
      <x:c r="I49" s="10" t="str">
        <x:v>Not started</x:v>
      </x:c>
      <x:c r="J49" s="10" t="str">
        <x:v>AI engineering lead</x:v>
      </x:c>
      <x:c r="K49" s="8" t="str">
        <x:v>WP02 WP03 WP04</x:v>
      </x:c>
      <x:c r="L49" s="8" t="str">
        <x:v>TC-BR-AG-05-A TC-BR-AG-05-B</x:v>
      </x:c>
      <x:c r="M49" s="10" t="str">
        <x:v>Unestimated</x:v>
      </x:c>
      <x:c r="N49" s="10" t="str"/>
    </x:row>
    <x:row r="50" ht="35.25" customHeight="1">
      <x:c r="A50" s="7" t="str">
        <x:v>ENG-BR-AG-06</x:v>
      </x:c>
      <x:c r="B50" s="7" t="str">
        <x:v>WP05</x:v>
      </x:c>
      <x:c r="C50" s="7" t="str">
        <x:v>BR-AG-06</x:v>
      </x:c>
      <x:c r="D50" s="7" t="str">
        <x:v>FR-AG-06</x:v>
      </x:c>
      <x:c r="E50" s="7" t="str">
        <x:v>Durable progress and recovery</x:v>
      </x:c>
      <x:c r="F50" s="7" t="str">
        <x:v>Persist a checkpoint and action identity for each step. Resume reads receipts before selecting pending steps.</x:v>
      </x:c>
      <x:c r="G50" s="7" t="str">
        <x:v>R1</x:v>
      </x:c>
      <x:c r="H50" s="7" t="str">
        <x:v>Must</x:v>
      </x:c>
      <x:c r="I50" s="10" t="str">
        <x:v>Not started</x:v>
      </x:c>
      <x:c r="J50" s="10" t="str">
        <x:v>AI engineering lead</x:v>
      </x:c>
      <x:c r="K50" s="7" t="str">
        <x:v>WP02 WP03 WP04</x:v>
      </x:c>
      <x:c r="L50" s="7" t="str">
        <x:v>TC-BR-AG-06-A TC-BR-AG-06-B</x:v>
      </x:c>
      <x:c r="M50" s="10" t="str">
        <x:v>Unestimated</x:v>
      </x:c>
      <x:c r="N50" s="10" t="str"/>
    </x:row>
    <x:row r="51" ht="35.25" customHeight="1">
      <x:c r="A51" s="8" t="str">
        <x:v>ENG-BR-AG-07</x:v>
      </x:c>
      <x:c r="B51" s="8" t="str">
        <x:v>WP05</x:v>
      </x:c>
      <x:c r="C51" s="8" t="str">
        <x:v>BR-AG-07</x:v>
      </x:c>
      <x:c r="D51" s="8" t="str">
        <x:v>FR-AG-07</x:v>
      </x:c>
      <x:c r="E51" s="8" t="str">
        <x:v>Limits and cancellation</x:v>
      </x:c>
      <x:c r="F51" s="8" t="str">
        <x:v>Enforce max_steps, deadline and budget in the executor independently of model output; cancellation records residual work.</x:v>
      </x:c>
      <x:c r="G51" s="8" t="str">
        <x:v>R1</x:v>
      </x:c>
      <x:c r="H51" s="8" t="str">
        <x:v>Must</x:v>
      </x:c>
      <x:c r="I51" s="10" t="str">
        <x:v>Not started</x:v>
      </x:c>
      <x:c r="J51" s="10" t="str">
        <x:v>AI engineering lead</x:v>
      </x:c>
      <x:c r="K51" s="8" t="str">
        <x:v>WP02 WP03 WP04</x:v>
      </x:c>
      <x:c r="L51" s="8" t="str">
        <x:v>TC-BR-AG-07-A TC-BR-AG-07-B</x:v>
      </x:c>
      <x:c r="M51" s="10" t="str">
        <x:v>Unestimated</x:v>
      </x:c>
      <x:c r="N51" s="10" t="str"/>
    </x:row>
    <x:row r="52" ht="35.25" customHeight="1">
      <x:c r="A52" s="7" t="str">
        <x:v>ENG-BR-AG-08</x:v>
      </x:c>
      <x:c r="B52" s="7" t="str">
        <x:v>WP05</x:v>
      </x:c>
      <x:c r="C52" s="7" t="str">
        <x:v>BR-AG-08</x:v>
      </x:c>
      <x:c r="D52" s="7" t="str">
        <x:v>FR-AG-08</x:v>
      </x:c>
      <x:c r="E52" s="7" t="str">
        <x:v>Conflicting outputs</x:v>
      </x:c>
      <x:c r="F52" s="7" t="str">
        <x:v>Store each model result separately. A conflict policy creates a human review task for incompatible outputs.</x:v>
      </x:c>
      <x:c r="G52" s="7" t="str">
        <x:v>R1</x:v>
      </x:c>
      <x:c r="H52" s="7" t="str">
        <x:v>Must</x:v>
      </x:c>
      <x:c r="I52" s="10" t="str">
        <x:v>Not started</x:v>
      </x:c>
      <x:c r="J52" s="10" t="str">
        <x:v>AI engineering lead</x:v>
      </x:c>
      <x:c r="K52" s="7" t="str">
        <x:v>WP02 WP03 WP04</x:v>
      </x:c>
      <x:c r="L52" s="7" t="str">
        <x:v>TC-BR-AG-08-A TC-BR-AG-08-B</x:v>
      </x:c>
      <x:c r="M52" s="10" t="str">
        <x:v>Unestimated</x:v>
      </x:c>
      <x:c r="N52" s="10" t="str"/>
    </x:row>
    <x:row r="53" ht="35.25" customHeight="1">
      <x:c r="A53" s="8" t="str">
        <x:v>ENG-BR-AG-09</x:v>
      </x:c>
      <x:c r="B53" s="8" t="str">
        <x:v>WP05</x:v>
      </x:c>
      <x:c r="C53" s="8" t="str">
        <x:v>BR-AG-09</x:v>
      </x:c>
      <x:c r="D53" s="8" t="str">
        <x:v>FR-AG-09</x:v>
      </x:c>
      <x:c r="E53" s="8" t="str">
        <x:v>Evidence behind explanations</x:v>
      </x:c>
      <x:c r="F53" s="8" t="str">
        <x:v>Recommendation records contain source fact IDs and rule or model version references; unsupported text is excluded.</x:v>
      </x:c>
      <x:c r="G53" s="8" t="str">
        <x:v>R1</x:v>
      </x:c>
      <x:c r="H53" s="8" t="str">
        <x:v>Must</x:v>
      </x:c>
      <x:c r="I53" s="10" t="str">
        <x:v>Not started</x:v>
      </x:c>
      <x:c r="J53" s="10" t="str">
        <x:v>AI engineering lead</x:v>
      </x:c>
      <x:c r="K53" s="8" t="str">
        <x:v>WP02 WP03 WP04</x:v>
      </x:c>
      <x:c r="L53" s="8" t="str">
        <x:v>TC-BR-AG-09-A TC-BR-AG-09-B</x:v>
      </x:c>
      <x:c r="M53" s="10" t="str">
        <x:v>Unestimated</x:v>
      </x:c>
      <x:c r="N53" s="10" t="str"/>
    </x:row>
    <x:row r="54" ht="35.25" customHeight="1">
      <x:c r="A54" s="7" t="str">
        <x:v>ENG-BR-AG-10</x:v>
      </x:c>
      <x:c r="B54" s="7" t="str">
        <x:v>WP05</x:v>
      </x:c>
      <x:c r="C54" s="7" t="str">
        <x:v>BR-AG-10</x:v>
      </x:c>
      <x:c r="D54" s="7" t="str">
        <x:v>FR-AG-10</x:v>
      </x:c>
      <x:c r="E54" s="7" t="str">
        <x:v>Clinical workflow continuity without an LLM</x:v>
      </x:c>
      <x:c r="F54" s="7" t="str">
        <x:v>Structured capture, cached approved guidance and draft referrals operate without a model dependency.</x:v>
      </x:c>
      <x:c r="G54" s="7" t="str">
        <x:v>R1</x:v>
      </x:c>
      <x:c r="H54" s="7" t="str">
        <x:v>Must</x:v>
      </x:c>
      <x:c r="I54" s="10" t="str">
        <x:v>Not started</x:v>
      </x:c>
      <x:c r="J54" s="10" t="str">
        <x:v>AI engineering lead</x:v>
      </x:c>
      <x:c r="K54" s="7" t="str">
        <x:v>WP02 WP03 WP04</x:v>
      </x:c>
      <x:c r="L54" s="7" t="str">
        <x:v>TC-BR-AG-10-A TC-BR-AG-10-B</x:v>
      </x:c>
      <x:c r="M54" s="10" t="str">
        <x:v>Unestimated</x:v>
      </x:c>
      <x:c r="N54" s="10" t="str"/>
    </x:row>
    <x:row r="55" ht="35.25" customHeight="1">
      <x:c r="A55" s="8" t="str">
        <x:v>ENG-BR-AG-11</x:v>
      </x:c>
      <x:c r="B55" s="8" t="str">
        <x:v>WP05</x:v>
      </x:c>
      <x:c r="C55" s="8" t="str">
        <x:v>BR-AG-11</x:v>
      </x:c>
      <x:c r="D55" s="8" t="str">
        <x:v>FR-AG-11</x:v>
      </x:c>
      <x:c r="E55" s="8" t="str">
        <x:v>Programme manager analysis</x:v>
      </x:c>
      <x:c r="F55" s="8" t="str">
        <x:v>Natural language reporting resolves to approved metric IDs and filters, then applies the same report policy checks.</x:v>
      </x:c>
      <x:c r="G55" s="8" t="str">
        <x:v>R2</x:v>
      </x:c>
      <x:c r="H55" s="8" t="str">
        <x:v>Should</x:v>
      </x:c>
      <x:c r="I55" s="10" t="str">
        <x:v>Not started</x:v>
      </x:c>
      <x:c r="J55" s="10" t="str">
        <x:v>AI engineering lead</x:v>
      </x:c>
      <x:c r="K55" s="8" t="str">
        <x:v>WP02 WP03 WP04</x:v>
      </x:c>
      <x:c r="L55" s="8" t="str">
        <x:v>TC-BR-AG-11-A TC-BR-AG-11-B</x:v>
      </x:c>
      <x:c r="M55" s="10" t="str">
        <x:v>Unestimated</x:v>
      </x:c>
      <x:c r="N55" s="10" t="str"/>
    </x:row>
    <x:row r="56" ht="35.25" customHeight="1">
      <x:c r="A56" s="7" t="str">
        <x:v>ENG-BR-AG-12</x:v>
      </x:c>
      <x:c r="B56" s="7" t="str">
        <x:v>WP05</x:v>
      </x:c>
      <x:c r="C56" s="7" t="str">
        <x:v>BR-AG-12</x:v>
      </x:c>
      <x:c r="D56" s="7" t="str">
        <x:v>FR-AG-12</x:v>
      </x:c>
      <x:c r="E56" s="7" t="str">
        <x:v>Change control for the agent</x:v>
      </x:c>
      <x:c r="F56" s="7" t="str">
        <x:v>Agent release manifests pin prompts, tools, safety tests, model release IDs and rollback compatibility.</x:v>
      </x:c>
      <x:c r="G56" s="7" t="str">
        <x:v>R1</x:v>
      </x:c>
      <x:c r="H56" s="7" t="str">
        <x:v>Must</x:v>
      </x:c>
      <x:c r="I56" s="10" t="str">
        <x:v>Not started</x:v>
      </x:c>
      <x:c r="J56" s="10" t="str">
        <x:v>AI engineering lead</x:v>
      </x:c>
      <x:c r="K56" s="7" t="str">
        <x:v>WP02 WP03 WP04</x:v>
      </x:c>
      <x:c r="L56" s="7" t="str">
        <x:v>TC-BR-AG-12-A TC-BR-AG-12-B</x:v>
      </x:c>
      <x:c r="M56" s="10" t="str">
        <x:v>Unestimated</x:v>
      </x:c>
      <x:c r="N56" s="10" t="str"/>
    </x:row>
    <x:row r="57" ht="35.25" customHeight="1">
      <x:c r="A57" s="8" t="str">
        <x:v>ENG-BR-AI-01</x:v>
      </x:c>
      <x:c r="B57" s="8" t="str">
        <x:v>WP05</x:v>
      </x:c>
      <x:c r="C57" s="8" t="str">
        <x:v>BR-AI-01</x:v>
      </x:c>
      <x:c r="D57" s="8" t="str">
        <x:v>FR-AI-01</x:v>
      </x:c>
      <x:c r="E57" s="8" t="str">
        <x:v>Capability registration</x:v>
      </x:c>
      <x:c r="F57" s="8" t="str">
        <x:v>A manifest version is immutable and owned by one verified provider; missing evidence keeps its activation state incomplete.</x:v>
      </x:c>
      <x:c r="G57" s="8" t="str">
        <x:v>R1</x:v>
      </x:c>
      <x:c r="H57" s="8" t="str">
        <x:v>Must</x:v>
      </x:c>
      <x:c r="I57" s="10" t="str">
        <x:v>Not started</x:v>
      </x:c>
      <x:c r="J57" s="10" t="str">
        <x:v>AI engineering lead</x:v>
      </x:c>
      <x:c r="K57" s="8" t="str">
        <x:v>WP02 WP03 WP04</x:v>
      </x:c>
      <x:c r="L57" s="8" t="str">
        <x:v>TC-BR-AI-01-A TC-BR-AI-01-B</x:v>
      </x:c>
      <x:c r="M57" s="10" t="str">
        <x:v>Unestimated</x:v>
      </x:c>
      <x:c r="N57" s="10" t="str"/>
    </x:row>
    <x:row r="58" ht="35.25" customHeight="1">
      <x:c r="A58" s="7" t="str">
        <x:v>ENG-BR-AI-02</x:v>
      </x:c>
      <x:c r="B58" s="7" t="str">
        <x:v>WP05</x:v>
      </x:c>
      <x:c r="C58" s="7" t="str">
        <x:v>BR-AI-02</x:v>
      </x:c>
      <x:c r="D58" s="7" t="str">
        <x:v>FR-AI-02</x:v>
      </x:c>
      <x:c r="E58" s="7" t="str">
        <x:v>Intended use and excluded use</x:v>
      </x:c>
      <x:c r="F58" s="7" t="str">
        <x:v>Eligibility predicates cover role, age basis, population, language, device, geography, quality and required history.</x:v>
      </x:c>
      <x:c r="G58" s="7" t="str">
        <x:v>R1</x:v>
      </x:c>
      <x:c r="H58" s="7" t="str">
        <x:v>Must</x:v>
      </x:c>
      <x:c r="I58" s="10" t="str">
        <x:v>Not started</x:v>
      </x:c>
      <x:c r="J58" s="10" t="str">
        <x:v>AI engineering lead</x:v>
      </x:c>
      <x:c r="K58" s="7" t="str">
        <x:v>WP02 WP03 WP04</x:v>
      </x:c>
      <x:c r="L58" s="7" t="str">
        <x:v>TC-BR-AI-02-A TC-BR-AI-02-B</x:v>
      </x:c>
      <x:c r="M58" s="10" t="str">
        <x:v>Unestimated</x:v>
      </x:c>
      <x:c r="N58" s="10" t="str"/>
    </x:row>
    <x:row r="59" ht="35.25" customHeight="1">
      <x:c r="A59" s="8" t="str">
        <x:v>ENG-BR-AI-03</x:v>
      </x:c>
      <x:c r="B59" s="8" t="str">
        <x:v>WP05</x:v>
      </x:c>
      <x:c r="C59" s="8" t="str">
        <x:v>BR-AI-03</x:v>
      </x:c>
      <x:c r="D59" s="8" t="str">
        <x:v>FR-AI-03</x:v>
      </x:c>
      <x:c r="E59" s="8" t="str">
        <x:v>Evidence and deployment authorisation</x:v>
      </x:c>
      <x:c r="F59" s="8" t="str">
        <x:v>Evidence and approval are distinct records tied to provider version, population, study setting and deployment scope.</x:v>
      </x:c>
      <x:c r="G59" s="8" t="str">
        <x:v>R1</x:v>
      </x:c>
      <x:c r="H59" s="8" t="str">
        <x:v>Must</x:v>
      </x:c>
      <x:c r="I59" s="10" t="str">
        <x:v>Not started</x:v>
      </x:c>
      <x:c r="J59" s="10" t="str">
        <x:v>AI engineering lead</x:v>
      </x:c>
      <x:c r="K59" s="8" t="str">
        <x:v>WP02 WP03 WP04</x:v>
      </x:c>
      <x:c r="L59" s="8" t="str">
        <x:v>TC-BR-AI-03-A TC-BR-AI-03-B</x:v>
      </x:c>
      <x:c r="M59" s="10" t="str">
        <x:v>Unestimated</x:v>
      </x:c>
      <x:c r="N59" s="10" t="str"/>
    </x:row>
    <x:row r="60" ht="35.25" customHeight="1">
      <x:c r="A60" s="7" t="str">
        <x:v>ENG-BR-AI-04</x:v>
      </x:c>
      <x:c r="B60" s="7" t="str">
        <x:v>WP05</x:v>
      </x:c>
      <x:c r="C60" s="7" t="str">
        <x:v>BR-AI-04</x:v>
      </x:c>
      <x:c r="D60" s="7" t="str">
        <x:v>FR-AI-04</x:v>
      </x:c>
      <x:c r="E60" s="7" t="str">
        <x:v>Capability lifecycle</x:v>
      </x:c>
      <x:c r="F60" s="7" t="str">
        <x:v>Lifecycle transitions require scoped roles; registration and deployment approval are independent permissions.</x:v>
      </x:c>
      <x:c r="G60" s="7" t="str">
        <x:v>R1</x:v>
      </x:c>
      <x:c r="H60" s="7" t="str">
        <x:v>Must</x:v>
      </x:c>
      <x:c r="I60" s="10" t="str">
        <x:v>Not started</x:v>
      </x:c>
      <x:c r="J60" s="10" t="str">
        <x:v>AI engineering lead</x:v>
      </x:c>
      <x:c r="K60" s="7" t="str">
        <x:v>WP02 WP03 WP04</x:v>
      </x:c>
      <x:c r="L60" s="7" t="str">
        <x:v>TC-BR-AI-04-A TC-BR-AI-04-B</x:v>
      </x:c>
      <x:c r="M60" s="10" t="str">
        <x:v>Unestimated</x:v>
      </x:c>
      <x:c r="N60" s="10" t="str"/>
    </x:row>
    <x:row r="61" ht="35.25" customHeight="1">
      <x:c r="A61" s="8" t="str">
        <x:v>ENG-BR-AI-05</x:v>
      </x:c>
      <x:c r="B61" s="8" t="str">
        <x:v>WP05</x:v>
      </x:c>
      <x:c r="C61" s="8" t="str">
        <x:v>BR-AI-05</x:v>
      </x:c>
      <x:c r="D61" s="8" t="str">
        <x:v>FR-AI-05</x:v>
      </x:c>
      <x:c r="E61" s="8" t="str">
        <x:v>Contract validation</x:v>
      </x:c>
      <x:c r="F61" s="8" t="str">
        <x:v>Validate request and response against pinned schemas, request correlation, media format and result semantics.</x:v>
      </x:c>
      <x:c r="G61" s="8" t="str">
        <x:v>R1</x:v>
      </x:c>
      <x:c r="H61" s="8" t="str">
        <x:v>Must</x:v>
      </x:c>
      <x:c r="I61" s="10" t="str">
        <x:v>Not started</x:v>
      </x:c>
      <x:c r="J61" s="10" t="str">
        <x:v>AI engineering lead</x:v>
      </x:c>
      <x:c r="K61" s="8" t="str">
        <x:v>WP02 WP03 WP04</x:v>
      </x:c>
      <x:c r="L61" s="8" t="str">
        <x:v>TC-BR-AI-05-A TC-BR-AI-05-B</x:v>
      </x:c>
      <x:c r="M61" s="10" t="str">
        <x:v>Unestimated</x:v>
      </x:c>
      <x:c r="N61" s="10" t="str"/>
    </x:row>
    <x:row r="62" ht="35.25" customHeight="1">
      <x:c r="A62" s="7" t="str">
        <x:v>ENG-BR-AI-06</x:v>
      </x:c>
      <x:c r="B62" s="7" t="str">
        <x:v>WP05</x:v>
      </x:c>
      <x:c r="C62" s="7" t="str">
        <x:v>BR-AI-06</x:v>
      </x:c>
      <x:c r="D62" s="7" t="str">
        <x:v>FR-AI-06</x:v>
      </x:c>
      <x:c r="E62" s="7" t="str">
        <x:v>Input quality and inability to assess</x:v>
      </x:c>
      <x:c r="F62" s="7" t="str">
        <x:v>Capture quality failures carry retry guidance from approved provider instructions and do not yield clinical risk values.</x:v>
      </x:c>
      <x:c r="G62" s="7" t="str">
        <x:v>R1</x:v>
      </x:c>
      <x:c r="H62" s="7" t="str">
        <x:v>Must</x:v>
      </x:c>
      <x:c r="I62" s="10" t="str">
        <x:v>Not started</x:v>
      </x:c>
      <x:c r="J62" s="10" t="str">
        <x:v>AI engineering lead</x:v>
      </x:c>
      <x:c r="K62" s="7" t="str">
        <x:v>WP02 WP03 WP04</x:v>
      </x:c>
      <x:c r="L62" s="7" t="str">
        <x:v>TC-BR-AI-06-A TC-BR-AI-06-B</x:v>
      </x:c>
      <x:c r="M62" s="10" t="str">
        <x:v>Unestimated</x:v>
      </x:c>
      <x:c r="N62" s="10" t="str"/>
    </x:row>
    <x:row r="63" ht="35.25" customHeight="1">
      <x:c r="A63" s="8" t="str">
        <x:v>ENG-BR-AI-07</x:v>
      </x:c>
      <x:c r="B63" s="8" t="str">
        <x:v>WP05</x:v>
      </x:c>
      <x:c r="C63" s="8" t="str">
        <x:v>BR-AI-07</x:v>
      </x:c>
      <x:c r="D63" s="8" t="str">
        <x:v>FR-AI-07</x:v>
      </x:c>
      <x:c r="E63" s="8" t="str">
        <x:v>Version pinning</x:v>
      </x:c>
      <x:c r="F63" s="8" t="str">
        <x:v>Each invocation stores manifest version, provider release ID, input hash and adapter version; mutable aliases are not accepted alone.</x:v>
      </x:c>
      <x:c r="G63" s="8" t="str">
        <x:v>R1</x:v>
      </x:c>
      <x:c r="H63" s="8" t="str">
        <x:v>Must</x:v>
      </x:c>
      <x:c r="I63" s="10" t="str">
        <x:v>Not started</x:v>
      </x:c>
      <x:c r="J63" s="10" t="str">
        <x:v>AI engineering lead</x:v>
      </x:c>
      <x:c r="K63" s="8" t="str">
        <x:v>WP02 WP03 WP04</x:v>
      </x:c>
      <x:c r="L63" s="8" t="str">
        <x:v>TC-BR-AI-07-A TC-BR-AI-07-B</x:v>
      </x:c>
      <x:c r="M63" s="10" t="str">
        <x:v>Unestimated</x:v>
      </x:c>
      <x:c r="N63" s="10" t="str"/>
    </x:row>
    <x:row r="64" ht="35.25" customHeight="1">
      <x:c r="A64" s="7" t="str">
        <x:v>ENG-BR-AI-08</x:v>
      </x:c>
      <x:c r="B64" s="7" t="str">
        <x:v>WP05</x:v>
      </x:c>
      <x:c r="C64" s="7" t="str">
        <x:v>BR-AI-08</x:v>
      </x:c>
      <x:c r="D64" s="7" t="str">
        <x:v>FR-AI-08</x:v>
      </x:c>
      <x:c r="E64" s="7" t="str">
        <x:v>Least-data provider invocation</x:v>
      </x:c>
      <x:c r="F64" s="7" t="str">
        <x:v>Build payloads from manifest-required fields intersected with purpose permissions; log references rather than raw payloads.</x:v>
      </x:c>
      <x:c r="G64" s="7" t="str">
        <x:v>R1</x:v>
      </x:c>
      <x:c r="H64" s="7" t="str">
        <x:v>Must</x:v>
      </x:c>
      <x:c r="I64" s="10" t="str">
        <x:v>Not started</x:v>
      </x:c>
      <x:c r="J64" s="10" t="str">
        <x:v>AI engineering lead</x:v>
      </x:c>
      <x:c r="K64" s="7" t="str">
        <x:v>WP02 WP03 WP04</x:v>
      </x:c>
      <x:c r="L64" s="7" t="str">
        <x:v>TC-BR-AI-08-A TC-BR-AI-08-B</x:v>
      </x:c>
      <x:c r="M64" s="10" t="str">
        <x:v>Unestimated</x:v>
      </x:c>
      <x:c r="N64" s="10" t="str"/>
    </x:row>
    <x:row r="65" ht="35.25" customHeight="1">
      <x:c r="A65" s="8" t="str">
        <x:v>ENG-BR-AI-09</x:v>
      </x:c>
      <x:c r="B65" s="8" t="str">
        <x:v>WP05</x:v>
      </x:c>
      <x:c r="C65" s="8" t="str">
        <x:v>BR-AI-09</x:v>
      </x:c>
      <x:c r="D65" s="8" t="str">
        <x:v>FR-AI-09</x:v>
      </x:c>
      <x:c r="E65" s="8" t="str">
        <x:v>Multi-provider result history</x:v>
      </x:c>
      <x:c r="F65" s="8" t="str">
        <x:v>Results are immutable references with provider attribution. Switching a provider creates a new invocation, never rewrites history.</x:v>
      </x:c>
      <x:c r="G65" s="8" t="str">
        <x:v>R1</x:v>
      </x:c>
      <x:c r="H65" s="8" t="str">
        <x:v>Must</x:v>
      </x:c>
      <x:c r="I65" s="10" t="str">
        <x:v>Not started</x:v>
      </x:c>
      <x:c r="J65" s="10" t="str">
        <x:v>AI engineering lead</x:v>
      </x:c>
      <x:c r="K65" s="8" t="str">
        <x:v>WP02 WP03 WP04</x:v>
      </x:c>
      <x:c r="L65" s="8" t="str">
        <x:v>TC-BR-AI-09-A TC-BR-AI-09-B</x:v>
      </x:c>
      <x:c r="M65" s="10" t="str">
        <x:v>Unestimated</x:v>
      </x:c>
      <x:c r="N65" s="10" t="str"/>
    </x:row>
    <x:row r="66" ht="35.25" customHeight="1">
      <x:c r="A66" s="7" t="str">
        <x:v>ENG-BR-AI-10</x:v>
      </x:c>
      <x:c r="B66" s="7" t="str">
        <x:v>WP05</x:v>
      </x:c>
      <x:c r="C66" s="7" t="str">
        <x:v>BR-AI-10</x:v>
      </x:c>
      <x:c r="D66" s="7" t="str">
        <x:v>FR-AI-10</x:v>
      </x:c>
      <x:c r="E66" s="7" t="str">
        <x:v>Monitoring and safety suspension</x:v>
      </x:c>
      <x:c r="F66" s="7" t="str">
        <x:v>Suspension sets an effective timestamp, prevents new admissions and emits tasks for affected pending or recent encounters.</x:v>
      </x:c>
      <x:c r="G66" s="7" t="str">
        <x:v>R1</x:v>
      </x:c>
      <x:c r="H66" s="7" t="str">
        <x:v>Must</x:v>
      </x:c>
      <x:c r="I66" s="10" t="str">
        <x:v>Not started</x:v>
      </x:c>
      <x:c r="J66" s="10" t="str">
        <x:v>AI engineering lead</x:v>
      </x:c>
      <x:c r="K66" s="7" t="str">
        <x:v>WP02 WP03 WP04</x:v>
      </x:c>
      <x:c r="L66" s="7" t="str">
        <x:v>TC-BR-AI-10-A TC-BR-AI-10-B</x:v>
      </x:c>
      <x:c r="M66" s="10" t="str">
        <x:v>Unestimated</x:v>
      </x:c>
      <x:c r="N66" s="10" t="str"/>
    </x:row>
    <x:row r="67" ht="35.25" customHeight="1">
      <x:c r="A67" s="8" t="str">
        <x:v>ENG-BR-AI-11</x:v>
      </x:c>
      <x:c r="B67" s="8" t="str">
        <x:v>WP05</x:v>
      </x:c>
      <x:c r="C67" s="8" t="str">
        <x:v>BR-AI-11</x:v>
      </x:c>
      <x:c r="D67" s="8" t="str">
        <x:v>FR-AI-11</x:v>
      </x:c>
      <x:c r="E67" s="8" t="str">
        <x:v>Provider self-service in a controlled environment</x:v>
      </x:c>
      <x:c r="F67" s="8" t="str">
        <x:v>Provider workspaces allow manifest drafts and synthetic fixtures only; live activation stays in deployment governance.</x:v>
      </x:c>
      <x:c r="G67" s="8" t="str">
        <x:v>R2</x:v>
      </x:c>
      <x:c r="H67" s="8" t="str">
        <x:v>Should</x:v>
      </x:c>
      <x:c r="I67" s="10" t="str">
        <x:v>Not started</x:v>
      </x:c>
      <x:c r="J67" s="10" t="str">
        <x:v>AI engineering lead</x:v>
      </x:c>
      <x:c r="K67" s="8" t="str">
        <x:v>WP02 WP03 WP04</x:v>
      </x:c>
      <x:c r="L67" s="8" t="str">
        <x:v>TC-BR-AI-11-A TC-BR-AI-11-B</x:v>
      </x:c>
      <x:c r="M67" s="10" t="str">
        <x:v>Unestimated</x:v>
      </x:c>
      <x:c r="N67" s="10" t="str"/>
    </x:row>
    <x:row r="68" ht="35.25" customHeight="1">
      <x:c r="A68" s="7" t="str">
        <x:v>ENG-BR-AI-12</x:v>
      </x:c>
      <x:c r="B68" s="7" t="str">
        <x:v>WP05</x:v>
      </x:c>
      <x:c r="C68" s="7" t="str">
        <x:v>BR-AI-12</x:v>
      </x:c>
      <x:c r="D68" s="7" t="str">
        <x:v>FR-AI-12</x:v>
      </x:c>
      <x:c r="E68" s="7" t="str">
        <x:v>Cost and contractual limits</x:v>
      </x:c>
      <x:c r="F68" s="7" t="str">
        <x:v>Budget admission reserves the maximum approved call cost and settles actual charges or releases unused reservation.</x:v>
      </x:c>
      <x:c r="G68" s="7" t="str">
        <x:v>R1</x:v>
      </x:c>
      <x:c r="H68" s="7" t="str">
        <x:v>Must</x:v>
      </x:c>
      <x:c r="I68" s="10" t="str">
        <x:v>Not started</x:v>
      </x:c>
      <x:c r="J68" s="10" t="str">
        <x:v>AI engineering lead</x:v>
      </x:c>
      <x:c r="K68" s="7" t="str">
        <x:v>WP02 WP03 WP04</x:v>
      </x:c>
      <x:c r="L68" s="7" t="str">
        <x:v>TC-BR-AI-12-A TC-BR-AI-12-B</x:v>
      </x:c>
      <x:c r="M68" s="10" t="str">
        <x:v>Unestimated</x:v>
      </x:c>
      <x:c r="N68" s="10" t="str"/>
    </x:row>
    <x:row r="69" ht="35.25" customHeight="1">
      <x:c r="A69" s="8" t="str">
        <x:v>ENG-BR-CLIN-01</x:v>
      </x:c>
      <x:c r="B69" s="8" t="str">
        <x:v>WP06</x:v>
      </x:c>
      <x:c r="C69" s="8" t="str">
        <x:v>BR-CLIN-01</x:v>
      </x:c>
      <x:c r="D69" s="8" t="str">
        <x:v>FR-CLIN-01</x:v>
      </x:c>
      <x:c r="E69" s="8" t="str">
        <x:v>Approved source library</x:v>
      </x:c>
      <x:c r="F69" s="8" t="str">
        <x:v>Knowledge entries require source, version, applicability, reviewer and expiry. Retrieval filters by active local approval.</x:v>
      </x:c>
      <x:c r="G69" s="8" t="str">
        <x:v>R1</x:v>
      </x:c>
      <x:c r="H69" s="8" t="str">
        <x:v>Must</x:v>
      </x:c>
      <x:c r="I69" s="10" t="str">
        <x:v>Not started</x:v>
      </x:c>
      <x:c r="J69" s="10" t="str">
        <x:v>Clinical safety lead</x:v>
      </x:c>
      <x:c r="K69" s="8" t="str">
        <x:v>WP02 WP04</x:v>
      </x:c>
      <x:c r="L69" s="8" t="str">
        <x:v>TC-BR-CLIN-01-A TC-BR-CLIN-01-B</x:v>
      </x:c>
      <x:c r="M69" s="10" t="str">
        <x:v>Unestimated</x:v>
      </x:c>
      <x:c r="N69" s="10" t="str"/>
    </x:row>
    <x:row r="70" ht="35.25" customHeight="1">
      <x:c r="A70" s="7" t="str">
        <x:v>ENG-BR-CLIN-02</x:v>
      </x:c>
      <x:c r="B70" s="7" t="str">
        <x:v>WP06</x:v>
      </x:c>
      <x:c r="C70" s="7" t="str">
        <x:v>BR-CLIN-02</x:v>
      </x:c>
      <x:c r="D70" s="7" t="str">
        <x:v>FR-CLIN-02</x:v>
      </x:c>
      <x:c r="E70" s="7" t="str">
        <x:v>Controlled clinical logic</x:v>
      </x:c>
      <x:c r="F70" s="7" t="str">
        <x:v>The protocol engine evaluates reviewed decision tables; the LLM receives the decision and evidence for explanation only.</x:v>
      </x:c>
      <x:c r="G70" s="7" t="str">
        <x:v>R1</x:v>
      </x:c>
      <x:c r="H70" s="7" t="str">
        <x:v>Must</x:v>
      </x:c>
      <x:c r="I70" s="10" t="str">
        <x:v>Not started</x:v>
      </x:c>
      <x:c r="J70" s="10" t="str">
        <x:v>Clinical safety lead</x:v>
      </x:c>
      <x:c r="K70" s="7" t="str">
        <x:v>WP02 WP04</x:v>
      </x:c>
      <x:c r="L70" s="7" t="str">
        <x:v>TC-BR-CLIN-02-A TC-BR-CLIN-02-B</x:v>
      </x:c>
      <x:c r="M70" s="10" t="str">
        <x:v>Unestimated</x:v>
      </x:c>
      <x:c r="N70" s="10" t="str"/>
    </x:row>
    <x:row r="71" ht="35.25" customHeight="1">
      <x:c r="A71" s="8" t="str">
        <x:v>ENG-BR-CLIN-03</x:v>
      </x:c>
      <x:c r="B71" s="8" t="str">
        <x:v>WP06</x:v>
      </x:c>
      <x:c r="C71" s="8" t="str">
        <x:v>BR-CLIN-03</x:v>
      </x:c>
      <x:c r="D71" s="8" t="str">
        <x:v>FR-CLIN-03</x:v>
      </x:c>
      <x:c r="E71" s="8" t="str">
        <x:v>Escalation without model dependence</x:v>
      </x:c>
      <x:c r="F71" s="8" t="str">
        <x:v>Urgent protocol actions have a local route and contact record; provider waits cannot delay their display.</x:v>
      </x:c>
      <x:c r="G71" s="8" t="str">
        <x:v>R1</x:v>
      </x:c>
      <x:c r="H71" s="8" t="str">
        <x:v>Must</x:v>
      </x:c>
      <x:c r="I71" s="10" t="str">
        <x:v>Not started</x:v>
      </x:c>
      <x:c r="J71" s="10" t="str">
        <x:v>Clinical safety lead</x:v>
      </x:c>
      <x:c r="K71" s="8" t="str">
        <x:v>WP02 WP04</x:v>
      </x:c>
      <x:c r="L71" s="8" t="str">
        <x:v>TC-BR-CLIN-03-A TC-BR-CLIN-03-B</x:v>
      </x:c>
      <x:c r="M71" s="10" t="str">
        <x:v>Unestimated</x:v>
      </x:c>
      <x:c r="N71" s="10" t="str"/>
    </x:row>
    <x:row r="72" ht="35.25" customHeight="1">
      <x:c r="A72" s="7" t="str">
        <x:v>ENG-BR-CLIN-04</x:v>
      </x:c>
      <x:c r="B72" s="7" t="str">
        <x:v>WP06</x:v>
      </x:c>
      <x:c r="C72" s="7" t="str">
        <x:v>BR-CLIN-04</x:v>
      </x:c>
      <x:c r="D72" s="7" t="str">
        <x:v>FR-CLIN-04</x:v>
      </x:c>
      <x:c r="E72" s="7" t="str">
        <x:v>Scope of practice</x:v>
      </x:c>
      <x:c r="F72" s="7" t="str">
        <x:v>Clinical command policy uses verified credentials and locally approved scope, not role label alone.</x:v>
      </x:c>
      <x:c r="G72" s="7" t="str">
        <x:v>R1</x:v>
      </x:c>
      <x:c r="H72" s="7" t="str">
        <x:v>Must</x:v>
      </x:c>
      <x:c r="I72" s="10" t="str">
        <x:v>Not started</x:v>
      </x:c>
      <x:c r="J72" s="10" t="str">
        <x:v>Clinical safety lead</x:v>
      </x:c>
      <x:c r="K72" s="7" t="str">
        <x:v>WP02 WP04</x:v>
      </x:c>
      <x:c r="L72" s="7" t="str">
        <x:v>TC-BR-CLIN-04-A TC-BR-CLIN-04-B</x:v>
      </x:c>
      <x:c r="M72" s="10" t="str">
        <x:v>Unestimated</x:v>
      </x:c>
      <x:c r="N72" s="10" t="str"/>
    </x:row>
    <x:row r="73" ht="35.25" customHeight="1">
      <x:c r="A73" s="8" t="str">
        <x:v>ENG-BR-CLIN-05</x:v>
      </x:c>
      <x:c r="B73" s="8" t="str">
        <x:v>WP06</x:v>
      </x:c>
      <x:c r="C73" s="8" t="str">
        <x:v>BR-CLIN-05</x:v>
      </x:c>
      <x:c r="D73" s="8" t="str">
        <x:v>FR-CLIN-05</x:v>
      </x:c>
      <x:c r="E73" s="8" t="str">
        <x:v>Review and override</x:v>
      </x:c>
      <x:c r="F73" s="8" t="str">
        <x:v>Reviews capture accepted or rejected recommendation, reason, clinician identity and exact evidence snapshot.</x:v>
      </x:c>
      <x:c r="G73" s="8" t="str">
        <x:v>R1</x:v>
      </x:c>
      <x:c r="H73" s="8" t="str">
        <x:v>Must</x:v>
      </x:c>
      <x:c r="I73" s="10" t="str">
        <x:v>Not started</x:v>
      </x:c>
      <x:c r="J73" s="10" t="str">
        <x:v>Clinical safety lead</x:v>
      </x:c>
      <x:c r="K73" s="8" t="str">
        <x:v>WP02 WP04</x:v>
      </x:c>
      <x:c r="L73" s="8" t="str">
        <x:v>TC-BR-CLIN-05-A TC-BR-CLIN-05-B</x:v>
      </x:c>
      <x:c r="M73" s="10" t="str">
        <x:v>Unestimated</x:v>
      </x:c>
      <x:c r="N73" s="10" t="str"/>
    </x:row>
    <x:row r="74" ht="35.25" customHeight="1">
      <x:c r="A74" s="7" t="str">
        <x:v>ENG-BR-CLIN-06</x:v>
      </x:c>
      <x:c r="B74" s="7" t="str">
        <x:v>WP06</x:v>
      </x:c>
      <x:c r="C74" s="7" t="str">
        <x:v>BR-CLIN-06</x:v>
      </x:c>
      <x:c r="D74" s="7" t="str">
        <x:v>FR-CLIN-06</x:v>
      </x:c>
      <x:c r="E74" s="7" t="str">
        <x:v>Model-specific quality requirements</x:v>
      </x:c>
      <x:c r="F74" s="7" t="str">
        <x:v>Every capability has its own performance thresholds and evaluation population; administrative extraction scores are separate.</x:v>
      </x:c>
      <x:c r="G74" s="7" t="str">
        <x:v>R1</x:v>
      </x:c>
      <x:c r="H74" s="7" t="str">
        <x:v>Must</x:v>
      </x:c>
      <x:c r="I74" s="10" t="str">
        <x:v>Not started</x:v>
      </x:c>
      <x:c r="J74" s="10" t="str">
        <x:v>Clinical safety lead</x:v>
      </x:c>
      <x:c r="K74" s="7" t="str">
        <x:v>WP02 WP04</x:v>
      </x:c>
      <x:c r="L74" s="7" t="str">
        <x:v>TC-BR-CLIN-06-A TC-BR-CLIN-06-B</x:v>
      </x:c>
      <x:c r="M74" s="10" t="str">
        <x:v>Unestimated</x:v>
      </x:c>
      <x:c r="N74" s="10" t="str"/>
    </x:row>
    <x:row r="75" ht="35.25" customHeight="1">
      <x:c r="A75" s="8" t="str">
        <x:v>ENG-BR-CLIN-07</x:v>
      </x:c>
      <x:c r="B75" s="8" t="str">
        <x:v>WP06</x:v>
      </x:c>
      <x:c r="C75" s="8" t="str">
        <x:v>BR-CLIN-07</x:v>
      </x:c>
      <x:c r="D75" s="8" t="str">
        <x:v>FR-CLIN-07</x:v>
      </x:c>
      <x:c r="E75" s="8" t="str">
        <x:v>Composition safety</x:v>
      </x:c>
      <x:c r="F75" s="8" t="str">
        <x:v>Composition review evaluates joint workflow hazards, missing input handling and disagreement rules.</x:v>
      </x:c>
      <x:c r="G75" s="8" t="str">
        <x:v>R1</x:v>
      </x:c>
      <x:c r="H75" s="8" t="str">
        <x:v>Must</x:v>
      </x:c>
      <x:c r="I75" s="10" t="str">
        <x:v>Not started</x:v>
      </x:c>
      <x:c r="J75" s="10" t="str">
        <x:v>Clinical safety lead</x:v>
      </x:c>
      <x:c r="K75" s="8" t="str">
        <x:v>WP02 WP04</x:v>
      </x:c>
      <x:c r="L75" s="8" t="str">
        <x:v>TC-BR-CLIN-07-A TC-BR-CLIN-07-B</x:v>
      </x:c>
      <x:c r="M75" s="10" t="str">
        <x:v>Unestimated</x:v>
      </x:c>
      <x:c r="N75" s="10" t="str"/>
    </x:row>
    <x:row r="76" ht="35.25" customHeight="1">
      <x:c r="A76" s="7" t="str">
        <x:v>ENG-BR-CLIN-08</x:v>
      </x:c>
      <x:c r="B76" s="7" t="str">
        <x:v>WP06</x:v>
      </x:c>
      <x:c r="C76" s="7" t="str">
        <x:v>BR-CLIN-08</x:v>
      </x:c>
      <x:c r="D76" s="7" t="str">
        <x:v>FR-CLIN-08</x:v>
      </x:c>
      <x:c r="E76" s="7" t="str">
        <x:v>Harm reporting and review</x:v>
      </x:c>
      <x:c r="F76" s="7" t="str">
        <x:v>Safety case intake is available from the encounter and creates containment and follow-up assignments.</x:v>
      </x:c>
      <x:c r="G76" s="7" t="str">
        <x:v>R1</x:v>
      </x:c>
      <x:c r="H76" s="7" t="str">
        <x:v>Must</x:v>
      </x:c>
      <x:c r="I76" s="10" t="str">
        <x:v>Not started</x:v>
      </x:c>
      <x:c r="J76" s="10" t="str">
        <x:v>Clinical safety lead</x:v>
      </x:c>
      <x:c r="K76" s="7" t="str">
        <x:v>WP02 WP04</x:v>
      </x:c>
      <x:c r="L76" s="7" t="str">
        <x:v>TC-BR-CLIN-08-A TC-BR-CLIN-08-B</x:v>
      </x:c>
      <x:c r="M76" s="10" t="str">
        <x:v>Unestimated</x:v>
      </x:c>
      <x:c r="N76" s="10" t="str"/>
    </x:row>
    <x:row r="77" ht="35.25" customHeight="1">
      <x:c r="A77" s="8" t="str">
        <x:v>ENG-BR-INT-01</x:v>
      </x:c>
      <x:c r="B77" s="8" t="str">
        <x:v>WP07</x:v>
      </x:c>
      <x:c r="C77" s="8" t="str">
        <x:v>BR-INT-01</x:v>
      </x:c>
      <x:c r="D77" s="8" t="str">
        <x:v>FR-INT-01</x:v>
      </x:c>
      <x:c r="E77" s="8" t="str">
        <x:v>Integration readiness contract</x:v>
      </x:c>
      <x:c r="F77" s="8" t="str">
        <x:v>Connector activation requires owner agreement, allowed operations, exact environment, receipt examples and support contact.</x:v>
      </x:c>
      <x:c r="G77" s="8" t="str">
        <x:v>R1</x:v>
      </x:c>
      <x:c r="H77" s="8" t="str">
        <x:v>Must</x:v>
      </x:c>
      <x:c r="I77" s="10" t="str">
        <x:v>Not started</x:v>
      </x:c>
      <x:c r="J77" s="10" t="str">
        <x:v>Integration lead</x:v>
      </x:c>
      <x:c r="K77" s="8" t="str">
        <x:v>WP02 WP03 WP04</x:v>
      </x:c>
      <x:c r="L77" s="8" t="str">
        <x:v>TC-BR-INT-01-A TC-BR-INT-01-B</x:v>
      </x:c>
      <x:c r="M77" s="10" t="str">
        <x:v>Unestimated</x:v>
      </x:c>
      <x:c r="N77" s="10" t="str"/>
    </x:row>
    <x:row r="78" ht="35.25" customHeight="1">
      <x:c r="A78" s="7" t="str">
        <x:v>ENG-BR-INT-02</x:v>
      </x:c>
      <x:c r="B78" s="7" t="str">
        <x:v>WP07</x:v>
      </x:c>
      <x:c r="C78" s="7" t="str">
        <x:v>BR-INT-02</x:v>
      </x:c>
      <x:c r="D78" s="7" t="str">
        <x:v>FR-INT-02</x:v>
      </x:c>
      <x:c r="E78" s="7" t="str">
        <x:v>Independent read and write permissions</x:v>
      </x:c>
      <x:c r="F78" s="7" t="str">
        <x:v>The operation allowlist independently grants search, read, create, amend, delete, export and status lookup.</x:v>
      </x:c>
      <x:c r="G78" s="7" t="str">
        <x:v>R1</x:v>
      </x:c>
      <x:c r="H78" s="7" t="str">
        <x:v>Must</x:v>
      </x:c>
      <x:c r="I78" s="10" t="str">
        <x:v>Not started</x:v>
      </x:c>
      <x:c r="J78" s="10" t="str">
        <x:v>Integration lead</x:v>
      </x:c>
      <x:c r="K78" s="7" t="str">
        <x:v>WP02 WP03 WP04</x:v>
      </x:c>
      <x:c r="L78" s="7" t="str">
        <x:v>TC-BR-INT-02-A TC-BR-INT-02-B</x:v>
      </x:c>
      <x:c r="M78" s="10" t="str">
        <x:v>Unestimated</x:v>
      </x:c>
      <x:c r="N78" s="10" t="str"/>
    </x:row>
    <x:row r="79" ht="35.25" customHeight="1">
      <x:c r="A79" s="8" t="str">
        <x:v>ENG-BR-INT-03</x:v>
      </x:c>
      <x:c r="B79" s="8" t="str">
        <x:v>WP07</x:v>
      </x:c>
      <x:c r="C79" s="8" t="str">
        <x:v>BR-INT-03</x:v>
      </x:c>
      <x:c r="D79" s="8" t="str">
        <x:v>FR-INT-03</x:v>
      </x:c>
      <x:c r="E79" s="8" t="str">
        <x:v>Confirmed submission receipts</x:v>
      </x:c>
      <x:c r="F79" s="8" t="str">
        <x:v>Acceptance requires a verified destination business receipt linked to payload revision and action ID.</x:v>
      </x:c>
      <x:c r="G79" s="8" t="str">
        <x:v>R1</x:v>
      </x:c>
      <x:c r="H79" s="8" t="str">
        <x:v>Must</x:v>
      </x:c>
      <x:c r="I79" s="10" t="str">
        <x:v>Not started</x:v>
      </x:c>
      <x:c r="J79" s="10" t="str">
        <x:v>Integration lead</x:v>
      </x:c>
      <x:c r="K79" s="8" t="str">
        <x:v>WP02 WP03 WP04</x:v>
      </x:c>
      <x:c r="L79" s="8" t="str">
        <x:v>TC-BR-INT-03-A TC-BR-INT-03-B</x:v>
      </x:c>
      <x:c r="M79" s="10" t="str">
        <x:v>Unestimated</x:v>
      </x:c>
      <x:c r="N79" s="10" t="str"/>
    </x:row>
    <x:row r="80" ht="35.25" customHeight="1">
      <x:c r="A80" s="7" t="str">
        <x:v>ENG-BR-INT-04</x:v>
      </x:c>
      <x:c r="B80" s="7" t="str">
        <x:v>WP07</x:v>
      </x:c>
      <x:c r="C80" s="7" t="str">
        <x:v>BR-INT-04</x:v>
      </x:c>
      <x:c r="D80" s="7" t="str">
        <x:v>FR-INT-04</x:v>
      </x:c>
      <x:c r="E80" s="7" t="str">
        <x:v>Duplicate prevention and uncertain outcomes</x:v>
      </x:c>
      <x:c r="F80" s="7" t="str">
        <x:v>Use a persistent logical action ID and destination idempotency mechanism; uncertain outcomes enter reconciliation.</x:v>
      </x:c>
      <x:c r="G80" s="7" t="str">
        <x:v>R1</x:v>
      </x:c>
      <x:c r="H80" s="7" t="str">
        <x:v>Must</x:v>
      </x:c>
      <x:c r="I80" s="10" t="str">
        <x:v>Not started</x:v>
      </x:c>
      <x:c r="J80" s="10" t="str">
        <x:v>Integration lead</x:v>
      </x:c>
      <x:c r="K80" s="7" t="str">
        <x:v>WP02 WP03 WP04</x:v>
      </x:c>
      <x:c r="L80" s="7" t="str">
        <x:v>TC-BR-INT-04-A TC-BR-INT-04-B</x:v>
      </x:c>
      <x:c r="M80" s="10" t="str">
        <x:v>Unestimated</x:v>
      </x:c>
      <x:c r="N80" s="10" t="str"/>
    </x:row>
    <x:row r="81" ht="35.25" customHeight="1">
      <x:c r="A81" s="8" t="str">
        <x:v>ENG-BR-INT-05</x:v>
      </x:c>
      <x:c r="B81" s="8" t="str">
        <x:v>WP07</x:v>
      </x:c>
      <x:c r="C81" s="8" t="str">
        <x:v>BR-INT-05</x:v>
      </x:c>
      <x:c r="D81" s="8" t="str">
        <x:v>FR-INT-05</x:v>
      </x:c>
      <x:c r="E81" s="8" t="str">
        <x:v>Partial completion across systems</x:v>
      </x:c>
      <x:c r="F81" s="8" t="str">
        <x:v>Each external action has its own receipt and retry policy; successful actions remain accepted during another failure.</x:v>
      </x:c>
      <x:c r="G81" s="8" t="str">
        <x:v>R1</x:v>
      </x:c>
      <x:c r="H81" s="8" t="str">
        <x:v>Must</x:v>
      </x:c>
      <x:c r="I81" s="10" t="str">
        <x:v>Not started</x:v>
      </x:c>
      <x:c r="J81" s="10" t="str">
        <x:v>Integration lead</x:v>
      </x:c>
      <x:c r="K81" s="8" t="str">
        <x:v>WP02 WP03 WP04</x:v>
      </x:c>
      <x:c r="L81" s="8" t="str">
        <x:v>TC-BR-INT-05-A TC-BR-INT-05-B</x:v>
      </x:c>
      <x:c r="M81" s="10" t="str">
        <x:v>Unestimated</x:v>
      </x:c>
      <x:c r="N81" s="10" t="str"/>
    </x:row>
    <x:row r="82" ht="35.25" customHeight="1">
      <x:c r="A82" s="7" t="str">
        <x:v>ENG-BR-INT-06</x:v>
      </x:c>
      <x:c r="B82" s="7" t="str">
        <x:v>WP07</x:v>
      </x:c>
      <x:c r="C82" s="7" t="str">
        <x:v>BR-INT-06</x:v>
      </x:c>
      <x:c r="D82" s="7" t="str">
        <x:v>FR-INT-06</x:v>
      </x:c>
      <x:c r="E82" s="7" t="str">
        <x:v>Inbound changes and reconciliation</x:v>
      </x:c>
      <x:c r="F82" s="7" t="str">
        <x:v>Inbound updates retain source version and effective time; conflicts produce a review record against local pending changes.</x:v>
      </x:c>
      <x:c r="G82" s="7" t="str">
        <x:v>R1</x:v>
      </x:c>
      <x:c r="H82" s="7" t="str">
        <x:v>Must</x:v>
      </x:c>
      <x:c r="I82" s="10" t="str">
        <x:v>Not started</x:v>
      </x:c>
      <x:c r="J82" s="10" t="str">
        <x:v>Integration lead</x:v>
      </x:c>
      <x:c r="K82" s="7" t="str">
        <x:v>WP02 WP03 WP04</x:v>
      </x:c>
      <x:c r="L82" s="7" t="str">
        <x:v>TC-BR-INT-06-A TC-BR-INT-06-B</x:v>
      </x:c>
      <x:c r="M82" s="10" t="str">
        <x:v>Unestimated</x:v>
      </x:c>
      <x:c r="N82" s="10" t="str"/>
    </x:row>
    <x:row r="83" ht="35.25" customHeight="1">
      <x:c r="A83" s="8" t="str">
        <x:v>ENG-BR-INT-07</x:v>
      </x:c>
      <x:c r="B83" s="8" t="str">
        <x:v>WP07</x:v>
      </x:c>
      <x:c r="C83" s="8" t="str">
        <x:v>BR-INT-07</x:v>
      </x:c>
      <x:c r="D83" s="8" t="str">
        <x:v>FR-INT-07</x:v>
      </x:c>
      <x:c r="E83" s="8" t="str">
        <x:v>Schema and mapping change control</x:v>
      </x:c>
      <x:c r="F83" s="8" t="str">
        <x:v>Schema upgrades validate fixtures and pending payload compatibility before activation; incompatible work pauses visibly.</x:v>
      </x:c>
      <x:c r="G83" s="8" t="str">
        <x:v>R1</x:v>
      </x:c>
      <x:c r="H83" s="8" t="str">
        <x:v>Must</x:v>
      </x:c>
      <x:c r="I83" s="10" t="str">
        <x:v>Not started</x:v>
      </x:c>
      <x:c r="J83" s="10" t="str">
        <x:v>Integration lead</x:v>
      </x:c>
      <x:c r="K83" s="8" t="str">
        <x:v>WP02 WP03 WP04</x:v>
      </x:c>
      <x:c r="L83" s="8" t="str">
        <x:v>TC-BR-INT-07-A TC-BR-INT-07-B</x:v>
      </x:c>
      <x:c r="M83" s="10" t="str">
        <x:v>Unestimated</x:v>
      </x:c>
      <x:c r="N83" s="10" t="str"/>
    </x:row>
    <x:row r="84" ht="35.25" customHeight="1">
      <x:c r="A84" s="7" t="str">
        <x:v>ENG-BR-INT-08</x:v>
      </x:c>
      <x:c r="B84" s="7" t="str">
        <x:v>WP07</x:v>
      </x:c>
      <x:c r="C84" s="7" t="str">
        <x:v>BR-INT-08</x:v>
      </x:c>
      <x:c r="D84" s="7" t="str">
        <x:v>FR-INT-08</x:v>
      </x:c>
      <x:c r="E84" s="7" t="str">
        <x:v>Limited integration alternatives</x:v>
      </x:c>
      <x:c r="F84" s="7" t="str">
        <x:v>File exports and assisted hand-offs retain a local action ID and prepared state until external acceptance evidence exists.</x:v>
      </x:c>
      <x:c r="G84" s="7" t="str">
        <x:v>R1</x:v>
      </x:c>
      <x:c r="H84" s="7" t="str">
        <x:v>Must</x:v>
      </x:c>
      <x:c r="I84" s="10" t="str">
        <x:v>Not started</x:v>
      </x:c>
      <x:c r="J84" s="10" t="str">
        <x:v>Integration lead</x:v>
      </x:c>
      <x:c r="K84" s="7" t="str">
        <x:v>WP02 WP03 WP04</x:v>
      </x:c>
      <x:c r="L84" s="7" t="str">
        <x:v>TC-BR-INT-08-A TC-BR-INT-08-B</x:v>
      </x:c>
      <x:c r="M84" s="10" t="str">
        <x:v>Unestimated</x:v>
      </x:c>
      <x:c r="N84" s="10" t="str"/>
    </x:row>
    <x:row r="85" ht="35.25" customHeight="1">
      <x:c r="A85" s="8" t="str">
        <x:v>ENG-BR-INT-09</x:v>
      </x:c>
      <x:c r="B85" s="8" t="str">
        <x:v>WP07</x:v>
      </x:c>
      <x:c r="C85" s="8" t="str">
        <x:v>BR-INT-09</x:v>
      </x:c>
      <x:c r="D85" s="8" t="str">
        <x:v>FR-INT-09</x:v>
      </x:c>
      <x:c r="E85" s="8" t="str">
        <x:v>Per-destination data minimisation</x:v>
      </x:c>
      <x:c r="F85" s="8" t="str">
        <x:v>Per-destination allowlists distinguish aggregate measures from person-level transactions and remove unrelated fields.</x:v>
      </x:c>
      <x:c r="G85" s="8" t="str">
        <x:v>R1</x:v>
      </x:c>
      <x:c r="H85" s="8" t="str">
        <x:v>Must</x:v>
      </x:c>
      <x:c r="I85" s="10" t="str">
        <x:v>Not started</x:v>
      </x:c>
      <x:c r="J85" s="10" t="str">
        <x:v>Integration lead</x:v>
      </x:c>
      <x:c r="K85" s="8" t="str">
        <x:v>WP02 WP03 WP04</x:v>
      </x:c>
      <x:c r="L85" s="8" t="str">
        <x:v>TC-BR-INT-09-A TC-BR-INT-09-B</x:v>
      </x:c>
      <x:c r="M85" s="10" t="str">
        <x:v>Unestimated</x:v>
      </x:c>
      <x:c r="N85" s="10" t="str"/>
    </x:row>
    <x:row r="86" ht="35.25" customHeight="1">
      <x:c r="A86" s="7" t="str">
        <x:v>ENG-BR-INT-10</x:v>
      </x:c>
      <x:c r="B86" s="7" t="str">
        <x:v>WP07</x:v>
      </x:c>
      <x:c r="C86" s="7" t="str">
        <x:v>BR-INT-10</x:v>
      </x:c>
      <x:c r="D86" s="7" t="str">
        <x:v>FR-INT-10</x:v>
      </x:c>
      <x:c r="E86" s="7" t="str">
        <x:v>Standards-based exchange</x:v>
      </x:c>
      <x:c r="F86" s="7" t="str">
        <x:v>Connector manifests pin the receiving system profile, terminology release and validator configuration.</x:v>
      </x:c>
      <x:c r="G86" s="7" t="str">
        <x:v>R1</x:v>
      </x:c>
      <x:c r="H86" s="7" t="str">
        <x:v>Must</x:v>
      </x:c>
      <x:c r="I86" s="10" t="str">
        <x:v>Not started</x:v>
      </x:c>
      <x:c r="J86" s="10" t="str">
        <x:v>Integration lead</x:v>
      </x:c>
      <x:c r="K86" s="7" t="str">
        <x:v>WP02 WP03 WP04</x:v>
      </x:c>
      <x:c r="L86" s="7" t="str">
        <x:v>TC-BR-INT-10-A TC-BR-INT-10-B</x:v>
      </x:c>
      <x:c r="M86" s="10" t="str">
        <x:v>Unestimated</x:v>
      </x:c>
      <x:c r="N86" s="10" t="str"/>
    </x:row>
    <x:row r="87" ht="35.25" customHeight="1">
      <x:c r="A87" s="8" t="str">
        <x:v>ENG-BR-INT-11</x:v>
      </x:c>
      <x:c r="B87" s="8" t="str">
        <x:v>WP07</x:v>
      </x:c>
      <x:c r="C87" s="8" t="str">
        <x:v>BR-INT-11</x:v>
      </x:c>
      <x:c r="D87" s="8" t="str">
        <x:v>FR-INT-11</x:v>
      </x:c>
      <x:c r="E87" s="8" t="str">
        <x:v>Canonical exchange representation</x:v>
      </x:c>
      <x:c r="F87" s="8" t="str">
        <x:v>Canonical entities map to destination records through explicit versioned transformations with provenance links.</x:v>
      </x:c>
      <x:c r="G87" s="8" t="str">
        <x:v>R1</x:v>
      </x:c>
      <x:c r="H87" s="8" t="str">
        <x:v>Must</x:v>
      </x:c>
      <x:c r="I87" s="10" t="str">
        <x:v>Not started</x:v>
      </x:c>
      <x:c r="J87" s="10" t="str">
        <x:v>Integration lead</x:v>
      </x:c>
      <x:c r="K87" s="8" t="str">
        <x:v>WP02 WP03 WP04</x:v>
      </x:c>
      <x:c r="L87" s="8" t="str">
        <x:v>TC-BR-INT-11-A TC-BR-INT-11-B</x:v>
      </x:c>
      <x:c r="M87" s="10" t="str">
        <x:v>Unestimated</x:v>
      </x:c>
      <x:c r="N87" s="10" t="str"/>
    </x:row>
    <x:row r="88" ht="35.25" customHeight="1">
      <x:c r="A88" s="7" t="str">
        <x:v>ENG-BR-INT-12</x:v>
      </x:c>
      <x:c r="B88" s="7" t="str">
        <x:v>WP07</x:v>
      </x:c>
      <x:c r="C88" s="7" t="str">
        <x:v>BR-INT-12</x:v>
      </x:c>
      <x:c r="D88" s="7" t="str">
        <x:v>FR-INT-12</x:v>
      </x:c>
      <x:c r="E88" s="7" t="str">
        <x:v>Source and destination provenance</x:v>
      </x:c>
      <x:c r="F88" s="7" t="str">
        <x:v>Source identifiers, author, effective time, original status and transformation versions survive import and export.</x:v>
      </x:c>
      <x:c r="G88" s="7" t="str">
        <x:v>R1</x:v>
      </x:c>
      <x:c r="H88" s="7" t="str">
        <x:v>Must</x:v>
      </x:c>
      <x:c r="I88" s="10" t="str">
        <x:v>Not started</x:v>
      </x:c>
      <x:c r="J88" s="10" t="str">
        <x:v>Integration lead</x:v>
      </x:c>
      <x:c r="K88" s="7" t="str">
        <x:v>WP02 WP03 WP04</x:v>
      </x:c>
      <x:c r="L88" s="7" t="str">
        <x:v>TC-BR-INT-12-A TC-BR-INT-12-B</x:v>
      </x:c>
      <x:c r="M88" s="10" t="str">
        <x:v>Unestimated</x:v>
      </x:c>
      <x:c r="N88" s="10" t="str"/>
    </x:row>
    <x:row r="89" ht="35.25" customHeight="1">
      <x:c r="A89" s="8" t="str">
        <x:v>ENG-BR-INT-13</x:v>
      </x:c>
      <x:c r="B89" s="8" t="str">
        <x:v>WP07</x:v>
      </x:c>
      <x:c r="C89" s="8" t="str">
        <x:v>BR-INT-13</x:v>
      </x:c>
      <x:c r="D89" s="8" t="str">
        <x:v>FR-INT-13</x:v>
      </x:c>
      <x:c r="E89" s="8" t="str">
        <x:v>ABDM participation scope</x:v>
      </x:c>
      <x:c r="F89" s="8" t="str">
        <x:v>ABDM module roles are flags on a verified connector deployment; enabling ABHA does not enable HIP or HIU.</x:v>
      </x:c>
      <x:c r="G89" s="8" t="str">
        <x:v>R1</x:v>
      </x:c>
      <x:c r="H89" s="8" t="str">
        <x:v>Must</x:v>
      </x:c>
      <x:c r="I89" s="10" t="str">
        <x:v>Not started</x:v>
      </x:c>
      <x:c r="J89" s="10" t="str">
        <x:v>Integration lead</x:v>
      </x:c>
      <x:c r="K89" s="8" t="str">
        <x:v>WP02 WP03 WP04</x:v>
      </x:c>
      <x:c r="L89" s="8" t="str">
        <x:v>TC-BR-INT-13-A TC-BR-INT-13-B</x:v>
      </x:c>
      <x:c r="M89" s="10" t="str">
        <x:v>Unestimated</x:v>
      </x:c>
      <x:c r="N89" s="10" t="str"/>
    </x:row>
    <x:row r="90" ht="35.25" customHeight="1">
      <x:c r="A90" s="7" t="str">
        <x:v>ENG-BR-INT-14</x:v>
      </x:c>
      <x:c r="B90" s="7" t="str">
        <x:v>WP07</x:v>
      </x:c>
      <x:c r="C90" s="7" t="str">
        <x:v>BR-INT-14</x:v>
      </x:c>
      <x:c r="D90" s="7" t="str">
        <x:v>FR-INT-14</x:v>
      </x:c>
      <x:c r="E90" s="7" t="str">
        <x:v>ABHA identity and record linking</x:v>
      </x:c>
      <x:c r="F90" s="7" t="str">
        <x:v>ABHA verification and record-linking follow the onboarded flow with explicit user confirmation where required.</x:v>
      </x:c>
      <x:c r="G90" s="7" t="str">
        <x:v>R1</x:v>
      </x:c>
      <x:c r="H90" s="7" t="str">
        <x:v>Must</x:v>
      </x:c>
      <x:c r="I90" s="10" t="str">
        <x:v>Not started</x:v>
      </x:c>
      <x:c r="J90" s="10" t="str">
        <x:v>Integration lead</x:v>
      </x:c>
      <x:c r="K90" s="7" t="str">
        <x:v>WP02 WP03 WP04</x:v>
      </x:c>
      <x:c r="L90" s="7" t="str">
        <x:v>TC-BR-INT-14-A TC-BR-INT-14-B</x:v>
      </x:c>
      <x:c r="M90" s="10" t="str">
        <x:v>Unestimated</x:v>
      </x:c>
      <x:c r="N90" s="10" t="str"/>
    </x:row>
    <x:row r="91" ht="35.25" customHeight="1">
      <x:c r="A91" s="8" t="str">
        <x:v>ENG-BR-INT-15</x:v>
      </x:c>
      <x:c r="B91" s="8" t="str">
        <x:v>WP07</x:v>
      </x:c>
      <x:c r="C91" s="8" t="str">
        <x:v>BR-INT-15</x:v>
      </x:c>
      <x:c r="D91" s="8" t="str">
        <x:v>FR-INT-15</x:v>
      </x:c>
      <x:c r="E91" s="8" t="str">
        <x:v>ABDM consent enforcement</x:v>
      </x:c>
      <x:c r="F91" s="8" t="str">
        <x:v>Validate consent requester, provider, purpose, data types, period, frequency, expiry and current status before retrieval.</x:v>
      </x:c>
      <x:c r="G91" s="8" t="str">
        <x:v>R1</x:v>
      </x:c>
      <x:c r="H91" s="8" t="str">
        <x:v>Must</x:v>
      </x:c>
      <x:c r="I91" s="10" t="str">
        <x:v>Not started</x:v>
      </x:c>
      <x:c r="J91" s="10" t="str">
        <x:v>Integration lead</x:v>
      </x:c>
      <x:c r="K91" s="8" t="str">
        <x:v>WP02 WP03 WP04</x:v>
      </x:c>
      <x:c r="L91" s="8" t="str">
        <x:v>TC-BR-INT-15-A TC-BR-INT-15-B</x:v>
      </x:c>
      <x:c r="M91" s="10" t="str">
        <x:v>Unestimated</x:v>
      </x:c>
      <x:c r="N91" s="10" t="str"/>
    </x:row>
    <x:row r="92" ht="35.25" customHeight="1">
      <x:c r="A92" s="7" t="str">
        <x:v>ENG-BR-INT-16</x:v>
      </x:c>
      <x:c r="B92" s="7" t="str">
        <x:v>WP07</x:v>
      </x:c>
      <x:c r="C92" s="7" t="str">
        <x:v>BR-INT-16</x:v>
      </x:c>
      <x:c r="D92" s="7" t="str">
        <x:v>FR-INT-16</x:v>
      </x:c>
      <x:c r="E92" s="7" t="str">
        <x:v>Facility and professional attribution</x:v>
      </x:c>
      <x:c r="F92" s="7" t="str">
        <x:v>Facility and professional identifiers include registry source, verification state and deployment association.</x:v>
      </x:c>
      <x:c r="G92" s="7" t="str">
        <x:v>R1</x:v>
      </x:c>
      <x:c r="H92" s="7" t="str">
        <x:v>Must</x:v>
      </x:c>
      <x:c r="I92" s="10" t="str">
        <x:v>Not started</x:v>
      </x:c>
      <x:c r="J92" s="10" t="str">
        <x:v>Integration lead</x:v>
      </x:c>
      <x:c r="K92" s="7" t="str">
        <x:v>WP02 WP03 WP04</x:v>
      </x:c>
      <x:c r="L92" s="7" t="str">
        <x:v>TC-BR-INT-16-A TC-BR-INT-16-B</x:v>
      </x:c>
      <x:c r="M92" s="10" t="str">
        <x:v>Unestimated</x:v>
      </x:c>
      <x:c r="N92" s="10" t="str"/>
    </x:row>
    <x:row r="93" ht="35.25" customHeight="1">
      <x:c r="A93" s="8" t="str">
        <x:v>ENG-BR-INT-17</x:v>
      </x:c>
      <x:c r="B93" s="8" t="str">
        <x:v>WP07</x:v>
      </x:c>
      <x:c r="C93" s="8" t="str">
        <x:v>BR-INT-17</x:v>
      </x:c>
      <x:c r="D93" s="8" t="str">
        <x:v>FR-INT-17</x:v>
      </x:c>
      <x:c r="E93" s="8" t="str">
        <x:v>ABDM FHIR conformance and version control</x:v>
      </x:c>
      <x:c r="F93" s="8" t="str">
        <x:v>FHIR package hash, profile URL, terminology and validator version are retained with each validation result.</x:v>
      </x:c>
      <x:c r="G93" s="8" t="str">
        <x:v>R1</x:v>
      </x:c>
      <x:c r="H93" s="8" t="str">
        <x:v>Must</x:v>
      </x:c>
      <x:c r="I93" s="10" t="str">
        <x:v>Not started</x:v>
      </x:c>
      <x:c r="J93" s="10" t="str">
        <x:v>Integration lead</x:v>
      </x:c>
      <x:c r="K93" s="8" t="str">
        <x:v>WP02 WP03 WP04</x:v>
      </x:c>
      <x:c r="L93" s="8" t="str">
        <x:v>TC-BR-INT-17-A TC-BR-INT-17-B</x:v>
      </x:c>
      <x:c r="M93" s="10" t="str">
        <x:v>Unestimated</x:v>
      </x:c>
      <x:c r="N93" s="10" t="str"/>
    </x:row>
    <x:row r="94" ht="35.25" customHeight="1">
      <x:c r="A94" s="7" t="str">
        <x:v>ENG-BR-INT-18</x:v>
      </x:c>
      <x:c r="B94" s="7" t="str">
        <x:v>WP07</x:v>
      </x:c>
      <x:c r="C94" s="7" t="str">
        <x:v>BR-INT-18</x:v>
      </x:c>
      <x:c r="D94" s="7" t="str">
        <x:v>FR-INT-18</x:v>
      </x:c>
      <x:c r="E94" s="7" t="str">
        <x:v>Health Information Provider operation</x:v>
      </x:c>
      <x:c r="F94" s="7" t="str">
        <x:v>HIP publication registers eligible local records and care contexts, then fulfils only verified authorised requests.</x:v>
      </x:c>
      <x:c r="G94" s="7" t="str">
        <x:v>R1</x:v>
      </x:c>
      <x:c r="H94" s="7" t="str">
        <x:v>Must</x:v>
      </x:c>
      <x:c r="I94" s="10" t="str">
        <x:v>Not started</x:v>
      </x:c>
      <x:c r="J94" s="10" t="str">
        <x:v>Integration lead</x:v>
      </x:c>
      <x:c r="K94" s="7" t="str">
        <x:v>WP02 WP03 WP04</x:v>
      </x:c>
      <x:c r="L94" s="7" t="str">
        <x:v>TC-BR-INT-18-A TC-BR-INT-18-B</x:v>
      </x:c>
      <x:c r="M94" s="10" t="str">
        <x:v>Unestimated</x:v>
      </x:c>
      <x:c r="N94" s="10" t="str"/>
    </x:row>
    <x:row r="95" ht="35.25" customHeight="1">
      <x:c r="A95" s="8" t="str">
        <x:v>ENG-BR-INT-19</x:v>
      </x:c>
      <x:c r="B95" s="8" t="str">
        <x:v>WP07</x:v>
      </x:c>
      <x:c r="C95" s="8" t="str">
        <x:v>BR-INT-19</x:v>
      </x:c>
      <x:c r="D95" s="8" t="str">
        <x:v>FR-INT-19</x:v>
      </x:c>
      <x:c r="E95" s="8" t="str">
        <x:v>Health Information User operation</x:v>
      </x:c>
      <x:c r="F95" s="8" t="str">
        <x:v>HIU retrieval tracks consent and data-flow transactions, decrypts through the authorised boundary and validates each bundle.</x:v>
      </x:c>
      <x:c r="G95" s="8" t="str">
        <x:v>R1</x:v>
      </x:c>
      <x:c r="H95" s="8" t="str">
        <x:v>Must</x:v>
      </x:c>
      <x:c r="I95" s="10" t="str">
        <x:v>Not started</x:v>
      </x:c>
      <x:c r="J95" s="10" t="str">
        <x:v>Integration lead</x:v>
      </x:c>
      <x:c r="K95" s="8" t="str">
        <x:v>WP02 WP03 WP04</x:v>
      </x:c>
      <x:c r="L95" s="8" t="str">
        <x:v>TC-BR-INT-19-A TC-BR-INT-19-B</x:v>
      </x:c>
      <x:c r="M95" s="10" t="str">
        <x:v>Unestimated</x:v>
      </x:c>
      <x:c r="N95" s="10" t="str"/>
    </x:row>
    <x:row r="96" ht="35.25" customHeight="1">
      <x:c r="A96" s="7" t="str">
        <x:v>ENG-BR-INT-20</x:v>
      </x:c>
      <x:c r="B96" s="7" t="str">
        <x:v>WP07</x:v>
      </x:c>
      <x:c r="C96" s="7" t="str">
        <x:v>BR-INT-20</x:v>
      </x:c>
      <x:c r="D96" s="7" t="str">
        <x:v>FR-INT-20</x:v>
      </x:c>
      <x:c r="E96" s="7" t="str">
        <x:v>EHR connector capability profile</x:v>
      </x:c>
      <x:c r="F96" s="7" t="str">
        <x:v>Connector profiles declare resource types, search keys, operations, amendments, pagination, limits and receipt semantics.</x:v>
      </x:c>
      <x:c r="G96" s="7" t="str">
        <x:v>R1</x:v>
      </x:c>
      <x:c r="H96" s="7" t="str">
        <x:v>Must</x:v>
      </x:c>
      <x:c r="I96" s="10" t="str">
        <x:v>Not started</x:v>
      </x:c>
      <x:c r="J96" s="10" t="str">
        <x:v>Integration lead</x:v>
      </x:c>
      <x:c r="K96" s="7" t="str">
        <x:v>WP02 WP03 WP04</x:v>
      </x:c>
      <x:c r="L96" s="7" t="str">
        <x:v>TC-BR-INT-20-A TC-BR-INT-20-B</x:v>
      </x:c>
      <x:c r="M96" s="10" t="str">
        <x:v>Unestimated</x:v>
      </x:c>
      <x:c r="N96" s="10" t="str"/>
    </x:row>
    <x:row r="97" ht="35.25" customHeight="1">
      <x:c r="A97" s="8" t="str">
        <x:v>ENG-BR-INT-21</x:v>
      </x:c>
      <x:c r="B97" s="8" t="str">
        <x:v>WP07</x:v>
      </x:c>
      <x:c r="C97" s="8" t="str">
        <x:v>BR-INT-21</x:v>
      </x:c>
      <x:c r="D97" s="8" t="str">
        <x:v>FR-INT-21</x:v>
      </x:c>
      <x:c r="E97" s="8" t="str">
        <x:v>EHR writeback and conflict handling</x:v>
      </x:c>
      <x:c r="F97" s="8" t="str">
        <x:v>External version checks or reconciliation protect EHR writes; conflicts never default to last-write-wins.</x:v>
      </x:c>
      <x:c r="G97" s="8" t="str">
        <x:v>R1</x:v>
      </x:c>
      <x:c r="H97" s="8" t="str">
        <x:v>Must</x:v>
      </x:c>
      <x:c r="I97" s="10" t="str">
        <x:v>Not started</x:v>
      </x:c>
      <x:c r="J97" s="10" t="str">
        <x:v>Integration lead</x:v>
      </x:c>
      <x:c r="K97" s="8" t="str">
        <x:v>WP02 WP03 WP04</x:v>
      </x:c>
      <x:c r="L97" s="8" t="str">
        <x:v>TC-BR-INT-21-A TC-BR-INT-21-B</x:v>
      </x:c>
      <x:c r="M97" s="10" t="str">
        <x:v>Unestimated</x:v>
      </x:c>
      <x:c r="N97" s="10" t="str"/>
    </x:row>
    <x:row r="98" ht="35.25" customHeight="1">
      <x:c r="A98" s="7" t="str">
        <x:v>ENG-BR-INT-22</x:v>
      </x:c>
      <x:c r="B98" s="7" t="str">
        <x:v>WP07</x:v>
      </x:c>
      <x:c r="C98" s="7" t="str">
        <x:v>BR-INT-22</x:v>
      </x:c>
      <x:c r="D98" s="7" t="str">
        <x:v>FR-INT-22</x:v>
      </x:c>
      <x:c r="E98" s="7" t="str">
        <x:v>Legacy and document exchange</x:v>
      </x:c>
      <x:c r="F98" s="7" t="str">
        <x:v>Legacy adapters declare batch latency, source artefacts, acknowledgements and manual review obligations.</x:v>
      </x:c>
      <x:c r="G98" s="7" t="str">
        <x:v>R1</x:v>
      </x:c>
      <x:c r="H98" s="7" t="str">
        <x:v>Should</x:v>
      </x:c>
      <x:c r="I98" s="10" t="str">
        <x:v>Not started</x:v>
      </x:c>
      <x:c r="J98" s="10" t="str">
        <x:v>Integration lead</x:v>
      </x:c>
      <x:c r="K98" s="7" t="str">
        <x:v>WP02 WP03 WP04</x:v>
      </x:c>
      <x:c r="L98" s="7" t="str">
        <x:v>TC-BR-INT-22-A TC-BR-INT-22-B</x:v>
      </x:c>
      <x:c r="M98" s="10" t="str">
        <x:v>Unestimated</x:v>
      </x:c>
      <x:c r="N98" s="10" t="str"/>
    </x:row>
    <x:row r="99" ht="35.25" customHeight="1">
      <x:c r="A99" s="8" t="str">
        <x:v>ENG-BR-INT-23</x:v>
      </x:c>
      <x:c r="B99" s="8" t="str">
        <x:v>WP07</x:v>
      </x:c>
      <x:c r="C99" s="8" t="str">
        <x:v>BR-INT-23</x:v>
      </x:c>
      <x:c r="D99" s="8" t="str">
        <x:v>FR-INT-23</x:v>
      </x:c>
      <x:c r="E99" s="8" t="str">
        <x:v>Terminology and mapping governance</x:v>
      </x:c>
      <x:c r="F99" s="8" t="str">
        <x:v>Unmapped terminology has an explicit state and blocks destinations requiring a code until reviewed mapping exists.</x:v>
      </x:c>
      <x:c r="G99" s="8" t="str">
        <x:v>R1</x:v>
      </x:c>
      <x:c r="H99" s="8" t="str">
        <x:v>Must</x:v>
      </x:c>
      <x:c r="I99" s="10" t="str">
        <x:v>Not started</x:v>
      </x:c>
      <x:c r="J99" s="10" t="str">
        <x:v>Integration lead</x:v>
      </x:c>
      <x:c r="K99" s="8" t="str">
        <x:v>WP02 WP03 WP04</x:v>
      </x:c>
      <x:c r="L99" s="8" t="str">
        <x:v>TC-BR-INT-23-A TC-BR-INT-23-B</x:v>
      </x:c>
      <x:c r="M99" s="10" t="str">
        <x:v>Unestimated</x:v>
      </x:c>
      <x:c r="N99" s="10" t="str"/>
    </x:row>
    <x:row r="100" ht="35.25" customHeight="1">
      <x:c r="A100" s="7" t="str">
        <x:v>ENG-BR-INT-24</x:v>
      </x:c>
      <x:c r="B100" s="7" t="str">
        <x:v>WP07</x:v>
      </x:c>
      <x:c r="C100" s="7" t="str">
        <x:v>BR-INT-24</x:v>
      </x:c>
      <x:c r="D100" s="7" t="str">
        <x:v>FR-INT-24</x:v>
      </x:c>
      <x:c r="E100" s="7" t="str">
        <x:v>Conformance and production claims</x:v>
      </x:c>
      <x:c r="F100" s="7" t="str">
        <x:v>Expose conformance, sandbox, security review, onboarding and live acceptance as separate evidence fields.</x:v>
      </x:c>
      <x:c r="G100" s="7" t="str">
        <x:v>R1</x:v>
      </x:c>
      <x:c r="H100" s="7" t="str">
        <x:v>Must</x:v>
      </x:c>
      <x:c r="I100" s="10" t="str">
        <x:v>Not started</x:v>
      </x:c>
      <x:c r="J100" s="10" t="str">
        <x:v>Integration lead</x:v>
      </x:c>
      <x:c r="K100" s="7" t="str">
        <x:v>WP02 WP03 WP04</x:v>
      </x:c>
      <x:c r="L100" s="7" t="str">
        <x:v>TC-BR-INT-24-A TC-BR-INT-24-B</x:v>
      </x:c>
      <x:c r="M100" s="10" t="str">
        <x:v>Unestimated</x:v>
      </x:c>
      <x:c r="N100" s="10" t="str"/>
    </x:row>
    <x:row r="101" ht="35.25" customHeight="1">
      <x:c r="A101" s="8" t="str">
        <x:v>ENG-BR-OFF-01</x:v>
      </x:c>
      <x:c r="B101" s="8" t="str">
        <x:v>WP08</x:v>
      </x:c>
      <x:c r="C101" s="8" t="str">
        <x:v>BR-OFF-01</x:v>
      </x:c>
      <x:c r="D101" s="8" t="str">
        <x:v>FR-OFF-01</x:v>
      </x:c>
      <x:c r="E101" s="8" t="str">
        <x:v>Defined offline capability</x:v>
      </x:c>
      <x:c r="F101" s="8" t="str">
        <x:v>Offline availability is a manifest of cached records, protocols and commands under a signed device lease.</x:v>
      </x:c>
      <x:c r="G101" s="8" t="str">
        <x:v>R1</x:v>
      </x:c>
      <x:c r="H101" s="8" t="str">
        <x:v>Must</x:v>
      </x:c>
      <x:c r="I101" s="10" t="str">
        <x:v>Not started</x:v>
      </x:c>
      <x:c r="J101" s="10" t="str">
        <x:v>Mobile lead</x:v>
      </x:c>
      <x:c r="K101" s="8" t="str">
        <x:v>WP01 WP02 WP03</x:v>
      </x:c>
      <x:c r="L101" s="8" t="str">
        <x:v>TC-BR-OFF-01-A TC-BR-OFF-01-B</x:v>
      </x:c>
      <x:c r="M101" s="10" t="str">
        <x:v>Unestimated</x:v>
      </x:c>
      <x:c r="N101" s="10" t="str"/>
    </x:row>
    <x:row r="102" ht="35.25" customHeight="1">
      <x:c r="A102" s="7" t="str">
        <x:v>ENG-BR-OFF-02</x:v>
      </x:c>
      <x:c r="B102" s="7" t="str">
        <x:v>WP08</x:v>
      </x:c>
      <x:c r="C102" s="7" t="str">
        <x:v>BR-OFF-02</x:v>
      </x:c>
      <x:c r="D102" s="7" t="str">
        <x:v>FR-OFF-02</x:v>
      </x:c>
      <x:c r="E102" s="7" t="str">
        <x:v>Durable local capture</x:v>
      </x:c>
      <x:c r="F102" s="7" t="str">
        <x:v>Draft and queue mutations commit atomically to encrypted storage before the saved indicator appears.</x:v>
      </x:c>
      <x:c r="G102" s="7" t="str">
        <x:v>R1</x:v>
      </x:c>
      <x:c r="H102" s="7" t="str">
        <x:v>Must</x:v>
      </x:c>
      <x:c r="I102" s="10" t="str">
        <x:v>Not started</x:v>
      </x:c>
      <x:c r="J102" s="10" t="str">
        <x:v>Mobile lead</x:v>
      </x:c>
      <x:c r="K102" s="7" t="str">
        <x:v>WP01 WP02 WP03</x:v>
      </x:c>
      <x:c r="L102" s="7" t="str">
        <x:v>TC-BR-OFF-02-A TC-BR-OFF-02-B</x:v>
      </x:c>
      <x:c r="M102" s="10" t="str">
        <x:v>Unestimated</x:v>
      </x:c>
      <x:c r="N102" s="10" t="str"/>
    </x:row>
    <x:row r="103" ht="35.25" customHeight="1">
      <x:c r="A103" s="8" t="str">
        <x:v>ENG-BR-OFF-03</x:v>
      </x:c>
      <x:c r="B103" s="8" t="str">
        <x:v>WP08</x:v>
      </x:c>
      <x:c r="C103" s="8" t="str">
        <x:v>BR-OFF-03</x:v>
      </x:c>
      <x:c r="D103" s="8" t="str">
        <x:v>FR-OFF-03</x:v>
      </x:c>
      <x:c r="E103" s="8" t="str">
        <x:v>Controlled offline authority</x:v>
      </x:c>
      <x:c r="F103" s="8" t="str">
        <x:v>Lease checks use signed server time plus monotonic elapsed time; clock rollback or untrusted reboot requires online verification.</x:v>
      </x:c>
      <x:c r="G103" s="8" t="str">
        <x:v>R1</x:v>
      </x:c>
      <x:c r="H103" s="8" t="str">
        <x:v>Must</x:v>
      </x:c>
      <x:c r="I103" s="10" t="str">
        <x:v>Not started</x:v>
      </x:c>
      <x:c r="J103" s="10" t="str">
        <x:v>Mobile lead</x:v>
      </x:c>
      <x:c r="K103" s="8" t="str">
        <x:v>WP01 WP02 WP03</x:v>
      </x:c>
      <x:c r="L103" s="8" t="str">
        <x:v>TC-BR-OFF-03-A TC-BR-OFF-03-B</x:v>
      </x:c>
      <x:c r="M103" s="10" t="str">
        <x:v>Unestimated</x:v>
      </x:c>
      <x:c r="N103" s="10" t="str"/>
    </x:row>
    <x:row r="104" ht="35.25" customHeight="1">
      <x:c r="A104" s="7" t="str">
        <x:v>ENG-BR-OFF-04</x:v>
      </x:c>
      <x:c r="B104" s="7" t="str">
        <x:v>WP08</x:v>
      </x:c>
      <x:c r="C104" s="7" t="str">
        <x:v>BR-OFF-04</x:v>
      </x:c>
      <x:c r="D104" s="7" t="str">
        <x:v>FR-OFF-04</x:v>
      </x:c>
      <x:c r="E104" s="7" t="str">
        <x:v>Pending media and AI work</x:v>
      </x:c>
      <x:c r="F104" s="7" t="str">
        <x:v>Pending media carries its purpose, consent reference, capability version and expiry; all are rechecked before upload.</x:v>
      </x:c>
      <x:c r="G104" s="7" t="str">
        <x:v>R1</x:v>
      </x:c>
      <x:c r="H104" s="7" t="str">
        <x:v>Must</x:v>
      </x:c>
      <x:c r="I104" s="10" t="str">
        <x:v>Not started</x:v>
      </x:c>
      <x:c r="J104" s="10" t="str">
        <x:v>Mobile lead</x:v>
      </x:c>
      <x:c r="K104" s="7" t="str">
        <x:v>WP01 WP02 WP03</x:v>
      </x:c>
      <x:c r="L104" s="7" t="str">
        <x:v>TC-BR-OFF-04-A TC-BR-OFF-04-B</x:v>
      </x:c>
      <x:c r="M104" s="10" t="str">
        <x:v>Unestimated</x:v>
      </x:c>
      <x:c r="N104" s="10" t="str"/>
    </x:row>
    <x:row r="105" ht="35.25" customHeight="1">
      <x:c r="A105" s="8" t="str">
        <x:v>ENG-BR-OFF-05</x:v>
      </x:c>
      <x:c r="B105" s="8" t="str">
        <x:v>WP08</x:v>
      </x:c>
      <x:c r="C105" s="8" t="str">
        <x:v>BR-OFF-05</x:v>
      </x:c>
      <x:c r="D105" s="8" t="str">
        <x:v>FR-OFF-05</x:v>
      </x:c>
      <x:c r="E105" s="8" t="str">
        <x:v>Safe synchronisation ordering</x:v>
      </x:c>
      <x:c r="F105" s="8" t="str">
        <x:v>Sync envelopes include command ID, dependencies, base version and local sequence; per-item results return independently.</x:v>
      </x:c>
      <x:c r="G105" s="8" t="str">
        <x:v>R1</x:v>
      </x:c>
      <x:c r="H105" s="8" t="str">
        <x:v>Must</x:v>
      </x:c>
      <x:c r="I105" s="10" t="str">
        <x:v>Not started</x:v>
      </x:c>
      <x:c r="J105" s="10" t="str">
        <x:v>Mobile lead</x:v>
      </x:c>
      <x:c r="K105" s="8" t="str">
        <x:v>WP01 WP02 WP03</x:v>
      </x:c>
      <x:c r="L105" s="8" t="str">
        <x:v>TC-BR-OFF-05-A TC-BR-OFF-05-B</x:v>
      </x:c>
      <x:c r="M105" s="10" t="str">
        <x:v>Unestimated</x:v>
      </x:c>
      <x:c r="N105" s="10" t="str"/>
    </x:row>
    <x:row r="106" ht="35.25" customHeight="1">
      <x:c r="A106" s="7" t="str">
        <x:v>ENG-BR-OFF-06</x:v>
      </x:c>
      <x:c r="B106" s="7" t="str">
        <x:v>WP08</x:v>
      </x:c>
      <x:c r="C106" s="7" t="str">
        <x:v>BR-OFF-06</x:v>
      </x:c>
      <x:c r="D106" s="7" t="str">
        <x:v>FR-OFF-06</x:v>
      </x:c>
      <x:c r="E106" s="7" t="str">
        <x:v>Revalidation of delayed actions</x:v>
      </x:c>
      <x:c r="F106" s="7" t="str">
        <x:v>Delayed commands recheck active assignment, patient link, clinical freshness, pack version and recipient permission.</x:v>
      </x:c>
      <x:c r="G106" s="7" t="str">
        <x:v>R1</x:v>
      </x:c>
      <x:c r="H106" s="7" t="str">
        <x:v>Must</x:v>
      </x:c>
      <x:c r="I106" s="10" t="str">
        <x:v>Not started</x:v>
      </x:c>
      <x:c r="J106" s="10" t="str">
        <x:v>Mobile lead</x:v>
      </x:c>
      <x:c r="K106" s="7" t="str">
        <x:v>WP01 WP02 WP03</x:v>
      </x:c>
      <x:c r="L106" s="7" t="str">
        <x:v>TC-BR-OFF-06-A TC-BR-OFF-06-B</x:v>
      </x:c>
      <x:c r="M106" s="10" t="str">
        <x:v>Unestimated</x:v>
      </x:c>
      <x:c r="N106" s="10" t="str"/>
    </x:row>
    <x:row r="107" ht="35.25" customHeight="1">
      <x:c r="A107" s="8" t="str">
        <x:v>ENG-BR-OFF-07</x:v>
      </x:c>
      <x:c r="B107" s="8" t="str">
        <x:v>WP08</x:v>
      </x:c>
      <x:c r="C107" s="8" t="str">
        <x:v>BR-OFF-07</x:v>
      </x:c>
      <x:c r="D107" s="8" t="str">
        <x:v>FR-OFF-07</x:v>
      </x:c>
      <x:c r="E107" s="8" t="str">
        <x:v>Shared and lost devices</x:v>
      </x:c>
      <x:c r="F107" s="8" t="str">
        <x:v>Device switching clears decrypted memory and locks the cache. Remote revocation is enforced on next contact or lease expiry.</x:v>
      </x:c>
      <x:c r="G107" s="8" t="str">
        <x:v>R1</x:v>
      </x:c>
      <x:c r="H107" s="8" t="str">
        <x:v>Must</x:v>
      </x:c>
      <x:c r="I107" s="10" t="str">
        <x:v>Not started</x:v>
      </x:c>
      <x:c r="J107" s="10" t="str">
        <x:v>Mobile lead</x:v>
      </x:c>
      <x:c r="K107" s="8" t="str">
        <x:v>WP01 WP02 WP03</x:v>
      </x:c>
      <x:c r="L107" s="8" t="str">
        <x:v>TC-BR-OFF-07-A TC-BR-OFF-07-B</x:v>
      </x:c>
      <x:c r="M107" s="10" t="str">
        <x:v>Unestimated</x:v>
      </x:c>
      <x:c r="N107" s="10" t="str"/>
    </x:row>
    <x:row r="108" ht="35.25" customHeight="1">
      <x:c r="A108" s="7" t="str">
        <x:v>ENG-BR-OFF-08</x:v>
      </x:c>
      <x:c r="B108" s="7" t="str">
        <x:v>WP08</x:v>
      </x:c>
      <x:c r="C108" s="7" t="str">
        <x:v>BR-OFF-08</x:v>
      </x:c>
      <x:c r="D108" s="7" t="str">
        <x:v>FR-OFF-08</x:v>
      </x:c>
      <x:c r="E108" s="7" t="str">
        <x:v>Offline workflow capacity</x:v>
      </x:c>
      <x:c r="F108" s="7" t="str">
        <x:v>Capacity reserves space for structured records before new media. Pending work is never evicted for cache refresh.</x:v>
      </x:c>
      <x:c r="G108" s="7" t="str">
        <x:v>R1</x:v>
      </x:c>
      <x:c r="H108" s="7" t="str">
        <x:v>Must</x:v>
      </x:c>
      <x:c r="I108" s="10" t="str">
        <x:v>Not started</x:v>
      </x:c>
      <x:c r="J108" s="10" t="str">
        <x:v>Mobile lead</x:v>
      </x:c>
      <x:c r="K108" s="7" t="str">
        <x:v>WP01 WP02 WP03</x:v>
      </x:c>
      <x:c r="L108" s="7" t="str">
        <x:v>TC-BR-OFF-08-A TC-BR-OFF-08-B</x:v>
      </x:c>
      <x:c r="M108" s="10" t="str">
        <x:v>Unestimated</x:v>
      </x:c>
      <x:c r="N108" s="10" t="str"/>
    </x:row>
    <x:row r="109" ht="35.25" customHeight="1">
      <x:c r="A109" s="8" t="str">
        <x:v>ENG-BR-CARE-01</x:v>
      </x:c>
      <x:c r="B109" s="8" t="str">
        <x:v>WP09</x:v>
      </x:c>
      <x:c r="C109" s="8" t="str">
        <x:v>BR-CARE-01</x:v>
      </x:c>
      <x:c r="D109" s="8" t="str">
        <x:v>FR-CARE-01</x:v>
      </x:c>
      <x:c r="E109" s="8" t="str">
        <x:v>Action ownership</x:v>
      </x:c>
      <x:c r="F109" s="8" t="str">
        <x:v>Task creation requires an owner or a monitored assignment queue with a service-level escalation rule.</x:v>
      </x:c>
      <x:c r="G109" s="8" t="str">
        <x:v>R1</x:v>
      </x:c>
      <x:c r="H109" s="8" t="str">
        <x:v>Must</x:v>
      </x:c>
      <x:c r="I109" s="10" t="str">
        <x:v>Not started</x:v>
      </x:c>
      <x:c r="J109" s="10" t="str">
        <x:v>Care workflow lead</x:v>
      </x:c>
      <x:c r="K109" s="8" t="str">
        <x:v>WP03 WP04 WP06 WP07</x:v>
      </x:c>
      <x:c r="L109" s="8" t="str">
        <x:v>TC-BR-CARE-01-A TC-BR-CARE-01-B</x:v>
      </x:c>
      <x:c r="M109" s="10" t="str">
        <x:v>Unestimated</x:v>
      </x:c>
      <x:c r="N109" s="10" t="str"/>
    </x:row>
    <x:row r="110" ht="35.25" customHeight="1">
      <x:c r="A110" s="7" t="str">
        <x:v>ENG-BR-CARE-02</x:v>
      </x:c>
      <x:c r="B110" s="7" t="str">
        <x:v>WP09</x:v>
      </x:c>
      <x:c r="C110" s="7" t="str">
        <x:v>BR-CARE-02</x:v>
      </x:c>
      <x:c r="D110" s="7" t="str">
        <x:v>FR-CARE-02</x:v>
      </x:c>
      <x:c r="E110" s="7" t="str">
        <x:v>Service directory</x:v>
      </x:c>
      <x:c r="F110" s="7" t="str">
        <x:v>Directory entries require last_verified_at and supported services; expired availability is labelled and escalated.</x:v>
      </x:c>
      <x:c r="G110" s="7" t="str">
        <x:v>R1</x:v>
      </x:c>
      <x:c r="H110" s="7" t="str">
        <x:v>Must</x:v>
      </x:c>
      <x:c r="I110" s="10" t="str">
        <x:v>Not started</x:v>
      </x:c>
      <x:c r="J110" s="10" t="str">
        <x:v>Care workflow lead</x:v>
      </x:c>
      <x:c r="K110" s="7" t="str">
        <x:v>WP03 WP04 WP06 WP07</x:v>
      </x:c>
      <x:c r="L110" s="7" t="str">
        <x:v>TC-BR-CARE-02-A TC-BR-CARE-02-B</x:v>
      </x:c>
      <x:c r="M110" s="10" t="str">
        <x:v>Unestimated</x:v>
      </x:c>
      <x:c r="N110" s="10" t="str"/>
    </x:row>
    <x:row r="111" ht="35.25" customHeight="1">
      <x:c r="A111" s="8" t="str">
        <x:v>ENG-BR-CARE-03</x:v>
      </x:c>
      <x:c r="B111" s="8" t="str">
        <x:v>WP09</x:v>
      </x:c>
      <x:c r="C111" s="8" t="str">
        <x:v>BR-CARE-03</x:v>
      </x:c>
      <x:c r="D111" s="8" t="str">
        <x:v>FR-CARE-03</x:v>
      </x:c>
      <x:c r="E111" s="8" t="str">
        <x:v>Referral lifecycle</x:v>
      </x:c>
      <x:c r="F111" s="8" t="str">
        <x:v>Referral transitions attach evidence_type, evidence_ref and verifying actor; closure needs outcome or coded unresolved disposition.</x:v>
      </x:c>
      <x:c r="G111" s="8" t="str">
        <x:v>R1</x:v>
      </x:c>
      <x:c r="H111" s="8" t="str">
        <x:v>Must</x:v>
      </x:c>
      <x:c r="I111" s="10" t="str">
        <x:v>Not started</x:v>
      </x:c>
      <x:c r="J111" s="10" t="str">
        <x:v>Care workflow lead</x:v>
      </x:c>
      <x:c r="K111" s="8" t="str">
        <x:v>WP03 WP04 WP06 WP07</x:v>
      </x:c>
      <x:c r="L111" s="8" t="str">
        <x:v>TC-BR-CARE-03-A TC-BR-CARE-03-B</x:v>
      </x:c>
      <x:c r="M111" s="10" t="str">
        <x:v>Unestimated</x:v>
      </x:c>
      <x:c r="N111" s="10" t="str"/>
    </x:row>
    <x:row r="112" ht="35.25" customHeight="1">
      <x:c r="A112" s="7" t="str">
        <x:v>ENG-BR-CARE-04</x:v>
      </x:c>
      <x:c r="B112" s="7" t="str">
        <x:v>WP09</x:v>
      </x:c>
      <x:c r="C112" s="7" t="str">
        <x:v>BR-CARE-04</x:v>
      </x:c>
      <x:c r="D112" s="7" t="str">
        <x:v>FR-CARE-04</x:v>
      </x:c>
      <x:c r="E112" s="7" t="str">
        <x:v>Due work and escalation</x:v>
      </x:c>
      <x:c r="F112" s="7" t="str">
        <x:v>Due-work calculations record schedule version and timezone; escalation retains prior owner and reason for delay.</x:v>
      </x:c>
      <x:c r="G112" s="7" t="str">
        <x:v>R1</x:v>
      </x:c>
      <x:c r="H112" s="7" t="str">
        <x:v>Must</x:v>
      </x:c>
      <x:c r="I112" s="10" t="str">
        <x:v>Not started</x:v>
      </x:c>
      <x:c r="J112" s="10" t="str">
        <x:v>Care workflow lead</x:v>
      </x:c>
      <x:c r="K112" s="7" t="str">
        <x:v>WP03 WP04 WP06 WP07</x:v>
      </x:c>
      <x:c r="L112" s="7" t="str">
        <x:v>TC-BR-CARE-04-A TC-BR-CARE-04-B</x:v>
      </x:c>
      <x:c r="M112" s="10" t="str">
        <x:v>Unestimated</x:v>
      </x:c>
      <x:c r="N112" s="10" t="str"/>
    </x:row>
    <x:row r="113" ht="35.25" customHeight="1">
      <x:c r="A113" s="8" t="str">
        <x:v>ENG-BR-CARE-05</x:v>
      </x:c>
      <x:c r="B113" s="8" t="str">
        <x:v>WP09</x:v>
      </x:c>
      <x:c r="C113" s="8" t="str">
        <x:v>BR-CARE-05</x:v>
      </x:c>
      <x:c r="D113" s="8" t="str">
        <x:v>FR-CARE-05</x:v>
      </x:c>
      <x:c r="E113" s="8" t="str">
        <x:v>Unified action plan</x:v>
      </x:c>
      <x:c r="F113" s="8" t="str">
        <x:v>Deduplication joins only equivalent person, purpose, destination and time-window tasks and retains both programme links.</x:v>
      </x:c>
      <x:c r="G113" s="8" t="str">
        <x:v>R1</x:v>
      </x:c>
      <x:c r="H113" s="8" t="str">
        <x:v>Must</x:v>
      </x:c>
      <x:c r="I113" s="10" t="str">
        <x:v>Not started</x:v>
      </x:c>
      <x:c r="J113" s="10" t="str">
        <x:v>Care workflow lead</x:v>
      </x:c>
      <x:c r="K113" s="8" t="str">
        <x:v>WP03 WP04 WP06 WP07</x:v>
      </x:c>
      <x:c r="L113" s="8" t="str">
        <x:v>TC-BR-CARE-05-A TC-BR-CARE-05-B</x:v>
      </x:c>
      <x:c r="M113" s="10" t="str">
        <x:v>Unestimated</x:v>
      </x:c>
      <x:c r="N113" s="10" t="str"/>
    </x:row>
    <x:row r="114" ht="35.25" customHeight="1">
      <x:c r="A114" s="7" t="str">
        <x:v>ENG-BR-CARE-06</x:v>
      </x:c>
      <x:c r="B114" s="7" t="str">
        <x:v>WP09</x:v>
      </x:c>
      <x:c r="C114" s="7" t="str">
        <x:v>BR-CARE-06</x:v>
      </x:c>
      <x:c r="D114" s="7" t="str">
        <x:v>FR-CARE-06</x:v>
      </x:c>
      <x:c r="E114" s="7" t="str">
        <x:v>Safe communication preferences</x:v>
      </x:c>
      <x:c r="F114" s="7" t="str">
        <x:v>Communication preferences are per person, purpose and channel, with shared-phone disclosure limits.</x:v>
      </x:c>
      <x:c r="G114" s="7" t="str">
        <x:v>R1</x:v>
      </x:c>
      <x:c r="H114" s="7" t="str">
        <x:v>Must</x:v>
      </x:c>
      <x:c r="I114" s="10" t="str">
        <x:v>Not started</x:v>
      </x:c>
      <x:c r="J114" s="10" t="str">
        <x:v>Care workflow lead</x:v>
      </x:c>
      <x:c r="K114" s="7" t="str">
        <x:v>WP03 WP04 WP06 WP07</x:v>
      </x:c>
      <x:c r="L114" s="7" t="str">
        <x:v>TC-BR-CARE-06-A TC-BR-CARE-06-B</x:v>
      </x:c>
      <x:c r="M114" s="10" t="str">
        <x:v>Unestimated</x:v>
      </x:c>
      <x:c r="N114" s="10" t="str"/>
    </x:row>
    <x:row r="115" ht="35.25" customHeight="1">
      <x:c r="A115" s="8" t="str">
        <x:v>ENG-BR-CARE-07</x:v>
      </x:c>
      <x:c r="B115" s="8" t="str">
        <x:v>WP09</x:v>
      </x:c>
      <x:c r="C115" s="8" t="str">
        <x:v>BR-CARE-07</x:v>
      </x:c>
      <x:c r="D115" s="8" t="str">
        <x:v>FR-CARE-07</x:v>
      </x:c>
      <x:c r="E115" s="8" t="str">
        <x:v>External messaging and scheduling</x:v>
      </x:c>
      <x:c r="F115" s="8" t="str">
        <x:v>Channel adapters record delivery and opt-out status separately from patient acknowledgement or service completion.</x:v>
      </x:c>
      <x:c r="G115" s="8" t="str">
        <x:v>R2</x:v>
      </x:c>
      <x:c r="H115" s="8" t="str">
        <x:v>Should</x:v>
      </x:c>
      <x:c r="I115" s="10" t="str">
        <x:v>Not started</x:v>
      </x:c>
      <x:c r="J115" s="10" t="str">
        <x:v>Care workflow lead</x:v>
      </x:c>
      <x:c r="K115" s="8" t="str">
        <x:v>WP03 WP04 WP06 WP07</x:v>
      </x:c>
      <x:c r="L115" s="8" t="str">
        <x:v>TC-BR-CARE-07-A TC-BR-CARE-07-B</x:v>
      </x:c>
      <x:c r="M115" s="10" t="str">
        <x:v>Unestimated</x:v>
      </x:c>
      <x:c r="N115" s="10" t="str"/>
    </x:row>
    <x:row r="116" ht="35.25" customHeight="1">
      <x:c r="A116" s="7" t="str">
        <x:v>ENG-BR-CARE-08</x:v>
      </x:c>
      <x:c r="B116" s="7" t="str">
        <x:v>WP09</x:v>
      </x:c>
      <x:c r="C116" s="7" t="str">
        <x:v>BR-CARE-08</x:v>
      </x:c>
      <x:c r="D116" s="7" t="str">
        <x:v>FR-CARE-08</x:v>
      </x:c>
      <x:c r="E116" s="7" t="str">
        <x:v>Worker activity evidence</x:v>
      </x:c>
      <x:c r="F116" s="7" t="str">
        <x:v>Activity evidence distinguishes performed, verified, claimed and submitted; corrections invalidate derived claims.</x:v>
      </x:c>
      <x:c r="G116" s="7" t="str">
        <x:v>R1</x:v>
      </x:c>
      <x:c r="H116" s="7" t="str">
        <x:v>Must</x:v>
      </x:c>
      <x:c r="I116" s="10" t="str">
        <x:v>Not started</x:v>
      </x:c>
      <x:c r="J116" s="10" t="str">
        <x:v>Care workflow lead</x:v>
      </x:c>
      <x:c r="K116" s="7" t="str">
        <x:v>WP03 WP04 WP06 WP07</x:v>
      </x:c>
      <x:c r="L116" s="7" t="str">
        <x:v>TC-BR-CARE-08-A TC-BR-CARE-08-B</x:v>
      </x:c>
      <x:c r="M116" s="10" t="str">
        <x:v>Unestimated</x:v>
      </x:c>
      <x:c r="N116" s="10" t="str"/>
    </x:row>
    <x:row r="117" ht="35.25" customHeight="1">
      <x:c r="A117" s="8" t="str">
        <x:v>ENG-BR-REP-01</x:v>
      </x:c>
      <x:c r="B117" s="8" t="str">
        <x:v>WP10</x:v>
      </x:c>
      <x:c r="C117" s="8" t="str">
        <x:v>BR-REP-01</x:v>
      </x:c>
      <x:c r="D117" s="8" t="str">
        <x:v>FR-REP-01</x:v>
      </x:c>
      <x:c r="E117" s="8" t="str">
        <x:v>Operational exception queues</x:v>
      </x:c>
      <x:c r="F117" s="8" t="str">
        <x:v>Exceptions are indexed by owner, type, age, state and permitted person reference with direct recovery actions.</x:v>
      </x:c>
      <x:c r="G117" s="8" t="str">
        <x:v>R1</x:v>
      </x:c>
      <x:c r="H117" s="8" t="str">
        <x:v>Must</x:v>
      </x:c>
      <x:c r="I117" s="10" t="str">
        <x:v>Not started</x:v>
      </x:c>
      <x:c r="J117" s="10" t="str">
        <x:v>Data lead</x:v>
      </x:c>
      <x:c r="K117" s="8" t="str">
        <x:v>WP03 WP07 WP09</x:v>
      </x:c>
      <x:c r="L117" s="8" t="str">
        <x:v>TC-BR-REP-01-A TC-BR-REP-01-B</x:v>
      </x:c>
      <x:c r="M117" s="10" t="str">
        <x:v>Unestimated</x:v>
      </x:c>
      <x:c r="N117" s="10" t="str"/>
    </x:row>
    <x:row r="118" ht="35.25" customHeight="1">
      <x:c r="A118" s="7" t="str">
        <x:v>ENG-BR-REP-02</x:v>
      </x:c>
      <x:c r="B118" s="7" t="str">
        <x:v>WP10</x:v>
      </x:c>
      <x:c r="C118" s="7" t="str">
        <x:v>BR-REP-02</x:v>
      </x:c>
      <x:c r="D118" s="7" t="str">
        <x:v>FR-REP-02</x:v>
      </x:c>
      <x:c r="E118" s="7" t="str">
        <x:v>Governed indicator definitions</x:v>
      </x:c>
      <x:c r="F118" s="7" t="str">
        <x:v>Metric definitions version numerator, denominator, exclusions, source grain, cutoff and suppression.</x:v>
      </x:c>
      <x:c r="G118" s="7" t="str">
        <x:v>R1</x:v>
      </x:c>
      <x:c r="H118" s="7" t="str">
        <x:v>Must</x:v>
      </x:c>
      <x:c r="I118" s="10" t="str">
        <x:v>Not started</x:v>
      </x:c>
      <x:c r="J118" s="10" t="str">
        <x:v>Data lead</x:v>
      </x:c>
      <x:c r="K118" s="7" t="str">
        <x:v>WP03 WP07 WP09</x:v>
      </x:c>
      <x:c r="L118" s="7" t="str">
        <x:v>TC-BR-REP-02-A TC-BR-REP-02-B</x:v>
      </x:c>
      <x:c r="M118" s="10" t="str">
        <x:v>Unestimated</x:v>
      </x:c>
      <x:c r="N118" s="10" t="str"/>
    </x:row>
    <x:row r="119" ht="35.25" customHeight="1">
      <x:c r="A119" s="8" t="str">
        <x:v>ENG-BR-REP-03</x:v>
      </x:c>
      <x:c r="B119" s="8" t="str">
        <x:v>WP10</x:v>
      </x:c>
      <x:c r="C119" s="8" t="str">
        <x:v>BR-REP-03</x:v>
      </x:c>
      <x:c r="D119" s="8" t="str">
        <x:v>FR-REP-03</x:v>
      </x:c>
      <x:c r="E119" s="8" t="str">
        <x:v>Data freshness and completeness</x:v>
      </x:c>
      <x:c r="F119" s="8" t="str">
        <x:v>Each report shows source refresh time and incomplete feeds; delayed records revise a new report version.</x:v>
      </x:c>
      <x:c r="G119" s="8" t="str">
        <x:v>R1</x:v>
      </x:c>
      <x:c r="H119" s="8" t="str">
        <x:v>Must</x:v>
      </x:c>
      <x:c r="I119" s="10" t="str">
        <x:v>Not started</x:v>
      </x:c>
      <x:c r="J119" s="10" t="str">
        <x:v>Data lead</x:v>
      </x:c>
      <x:c r="K119" s="8" t="str">
        <x:v>WP03 WP07 WP09</x:v>
      </x:c>
      <x:c r="L119" s="8" t="str">
        <x:v>TC-BR-REP-03-A TC-BR-REP-03-B</x:v>
      </x:c>
      <x:c r="M119" s="10" t="str">
        <x:v>Unestimated</x:v>
      </x:c>
      <x:c r="N119" s="10" t="str"/>
    </x:row>
    <x:row r="120" ht="35.25" customHeight="1">
      <x:c r="A120" s="7" t="str">
        <x:v>ENG-BR-REP-04</x:v>
      </x:c>
      <x:c r="B120" s="7" t="str">
        <x:v>WP10</x:v>
      </x:c>
      <x:c r="C120" s="7" t="str">
        <x:v>BR-REP-04</x:v>
      </x:c>
      <x:c r="D120" s="7" t="str">
        <x:v>FR-REP-04</x:v>
      </x:c>
      <x:c r="E120" s="7" t="str">
        <x:v>Privacy-preserving aggregation</x:v>
      </x:c>
      <x:c r="F120" s="7" t="str">
        <x:v>Aggregate policy combines minimum cohort rules, protected dimensions and query-history controls against differencing.</x:v>
      </x:c>
      <x:c r="G120" s="7" t="str">
        <x:v>R1</x:v>
      </x:c>
      <x:c r="H120" s="7" t="str">
        <x:v>Must</x:v>
      </x:c>
      <x:c r="I120" s="10" t="str">
        <x:v>Not started</x:v>
      </x:c>
      <x:c r="J120" s="10" t="str">
        <x:v>Data lead</x:v>
      </x:c>
      <x:c r="K120" s="7" t="str">
        <x:v>WP03 WP07 WP09</x:v>
      </x:c>
      <x:c r="L120" s="7" t="str">
        <x:v>TC-BR-REP-04-A TC-BR-REP-04-B</x:v>
      </x:c>
      <x:c r="M120" s="10" t="str">
        <x:v>Unestimated</x:v>
      </x:c>
      <x:c r="N120" s="10" t="str"/>
    </x:row>
    <x:row r="121" ht="35.25" customHeight="1">
      <x:c r="A121" s="8" t="str">
        <x:v>ENG-BR-REP-05</x:v>
      </x:c>
      <x:c r="B121" s="8" t="str">
        <x:v>WP10</x:v>
      </x:c>
      <x:c r="C121" s="8" t="str">
        <x:v>BR-REP-05</x:v>
      </x:c>
      <x:c r="D121" s="8" t="str">
        <x:v>FR-REP-05</x:v>
      </x:c>
      <x:c r="E121" s="8" t="str">
        <x:v>Reconciled exports</x:v>
      </x:c>
      <x:c r="F121" s="8" t="str">
        <x:v>Exports contain metric definition version, scope, date window and row count, with expiring authorised download.</x:v>
      </x:c>
      <x:c r="G121" s="8" t="str">
        <x:v>R1</x:v>
      </x:c>
      <x:c r="H121" s="8" t="str">
        <x:v>Must</x:v>
      </x:c>
      <x:c r="I121" s="10" t="str">
        <x:v>Not started</x:v>
      </x:c>
      <x:c r="J121" s="10" t="str">
        <x:v>Data lead</x:v>
      </x:c>
      <x:c r="K121" s="8" t="str">
        <x:v>WP03 WP07 WP09</x:v>
      </x:c>
      <x:c r="L121" s="8" t="str">
        <x:v>TC-BR-REP-05-A TC-BR-REP-05-B</x:v>
      </x:c>
      <x:c r="M121" s="10" t="str">
        <x:v>Unestimated</x:v>
      </x:c>
      <x:c r="N121" s="10" t="str"/>
    </x:row>
    <x:row r="122" ht="35.25" customHeight="1">
      <x:c r="A122" s="7" t="str">
        <x:v>ENG-BR-REP-06</x:v>
      </x:c>
      <x:c r="B122" s="7" t="str">
        <x:v>WP10</x:v>
      </x:c>
      <x:c r="C122" s="7" t="str">
        <x:v>BR-REP-06</x:v>
      </x:c>
      <x:c r="D122" s="7" t="str">
        <x:v>FR-REP-06</x:v>
      </x:c>
      <x:c r="E122" s="7" t="str">
        <x:v>Population prioritisation</x:v>
      </x:c>
      <x:c r="F122" s="7" t="str">
        <x:v>Prioritisation returns reasons and uncertainty for human allocation; neither payment nor eligibility is automatically changed.</x:v>
      </x:c>
      <x:c r="G122" s="7" t="str">
        <x:v>R2</x:v>
      </x:c>
      <x:c r="H122" s="7" t="str">
        <x:v>Should</x:v>
      </x:c>
      <x:c r="I122" s="10" t="str">
        <x:v>Not started</x:v>
      </x:c>
      <x:c r="J122" s="10" t="str">
        <x:v>Data lead</x:v>
      </x:c>
      <x:c r="K122" s="7" t="str">
        <x:v>WP03 WP07 WP09</x:v>
      </x:c>
      <x:c r="L122" s="7" t="str">
        <x:v>TC-BR-REP-06-A TC-BR-REP-06-B</x:v>
      </x:c>
      <x:c r="M122" s="10" t="str">
        <x:v>Unestimated</x:v>
      </x:c>
      <x:c r="N122" s="10" t="str"/>
    </x:row>
    <x:row r="123" ht="35.25" customHeight="1">
      <x:c r="A123" s="8" t="str">
        <x:v>ENG-BR-REP-07</x:v>
      </x:c>
      <x:c r="B123" s="8" t="str">
        <x:v>WP10</x:v>
      </x:c>
      <x:c r="C123" s="8" t="str">
        <x:v>BR-REP-07</x:v>
      </x:c>
      <x:c r="D123" s="8" t="str">
        <x:v>FR-REP-07</x:v>
      </x:c>
      <x:c r="E123" s="8" t="str">
        <x:v>Product performance metrics</x:v>
      </x:c>
      <x:c r="F123" s="8" t="str">
        <x:v>Operational metrics use event references and redacted counters; patient content never becomes general product telemetry.</x:v>
      </x:c>
      <x:c r="G123" s="8" t="str">
        <x:v>R1</x:v>
      </x:c>
      <x:c r="H123" s="8" t="str">
        <x:v>Must</x:v>
      </x:c>
      <x:c r="I123" s="10" t="str">
        <x:v>Not started</x:v>
      </x:c>
      <x:c r="J123" s="10" t="str">
        <x:v>Data lead</x:v>
      </x:c>
      <x:c r="K123" s="8" t="str">
        <x:v>WP03 WP07 WP09</x:v>
      </x:c>
      <x:c r="L123" s="8" t="str">
        <x:v>TC-BR-REP-07-A TC-BR-REP-07-B</x:v>
      </x:c>
      <x:c r="M123" s="10" t="str">
        <x:v>Unestimated</x:v>
      </x:c>
      <x:c r="N123" s="10" t="str"/>
    </x:row>
    <x:row r="124" ht="35.25" customHeight="1">
      <x:c r="A124" s="7" t="str">
        <x:v>ENG-BR-OPS-01</x:v>
      </x:c>
      <x:c r="B124" s="7" t="str">
        <x:v>WP11</x:v>
      </x:c>
      <x:c r="C124" s="7" t="str">
        <x:v>BR-OPS-01</x:v>
      </x:c>
      <x:c r="D124" s="7" t="str">
        <x:v>FR-OPS-01</x:v>
      </x:c>
      <x:c r="E124" s="7" t="str">
        <x:v>Deployment configuration</x:v>
      </x:c>
      <x:c r="F124" s="7" t="str">
        <x:v>Configuration is tenant-scoped and versioned; validate referenced roles, packs, capabilities and connector profiles before publish.</x:v>
      </x:c>
      <x:c r="G124" s="7" t="str">
        <x:v>R1</x:v>
      </x:c>
      <x:c r="H124" s="7" t="str">
        <x:v>Must</x:v>
      </x:c>
      <x:c r="I124" s="10" t="str">
        <x:v>Not started</x:v>
      </x:c>
      <x:c r="J124" s="10" t="str">
        <x:v>Operations lead</x:v>
      </x:c>
      <x:c r="K124" s="7" t="str">
        <x:v>WP02 WP05 WP07 WP08 WP09 WP10</x:v>
      </x:c>
      <x:c r="L124" s="7" t="str">
        <x:v>TC-BR-OPS-01-A TC-BR-OPS-01-B</x:v>
      </x:c>
      <x:c r="M124" s="10" t="str">
        <x:v>Unestimated</x:v>
      </x:c>
      <x:c r="N124" s="10" t="str"/>
    </x:row>
    <x:row r="125" ht="35.25" customHeight="1">
      <x:c r="A125" s="8" t="str">
        <x:v>ENG-BR-OPS-02</x:v>
      </x:c>
      <x:c r="B125" s="8" t="str">
        <x:v>WP11</x:v>
      </x:c>
      <x:c r="C125" s="8" t="str">
        <x:v>BR-OPS-02</x:v>
      </x:c>
      <x:c r="D125" s="8" t="str">
        <x:v>FR-OPS-02</x:v>
      </x:c>
      <x:c r="E125" s="8" t="str">
        <x:v>Separation of environments</x:v>
      </x:c>
      <x:c r="F125" s="8" t="str">
        <x:v>Production credentials and routes are unavailable in test environments; fixtures carry synthetic mode on every record.</x:v>
      </x:c>
      <x:c r="G125" s="8" t="str">
        <x:v>R1</x:v>
      </x:c>
      <x:c r="H125" s="8" t="str">
        <x:v>Must</x:v>
      </x:c>
      <x:c r="I125" s="10" t="str">
        <x:v>Not started</x:v>
      </x:c>
      <x:c r="J125" s="10" t="str">
        <x:v>Operations lead</x:v>
      </x:c>
      <x:c r="K125" s="8" t="str">
        <x:v>WP02 WP05 WP07 WP08 WP09 WP10</x:v>
      </x:c>
      <x:c r="L125" s="8" t="str">
        <x:v>TC-BR-OPS-02-A TC-BR-OPS-02-B</x:v>
      </x:c>
      <x:c r="M125" s="10" t="str">
        <x:v>Unestimated</x:v>
      </x:c>
      <x:c r="N125" s="10" t="str"/>
    </x:row>
    <x:row r="126" ht="35.25" customHeight="1">
      <x:c r="A126" s="7" t="str">
        <x:v>ENG-BR-OPS-03</x:v>
      </x:c>
      <x:c r="B126" s="7" t="str">
        <x:v>WP11</x:v>
      </x:c>
      <x:c r="C126" s="7" t="str">
        <x:v>BR-OPS-03</x:v>
      </x:c>
      <x:c r="D126" s="7" t="str">
        <x:v>FR-OPS-03</x:v>
      </x:c>
      <x:c r="E126" s="7" t="str">
        <x:v>Controlled publishing and rollback</x:v>
      </x:c>
      <x:c r="F126" s="7" t="str">
        <x:v>Publish creates an immutable manifest and independent approval for sensitive changes; rollback checks schema compatibility.</x:v>
      </x:c>
      <x:c r="G126" s="7" t="str">
        <x:v>R1</x:v>
      </x:c>
      <x:c r="H126" s="7" t="str">
        <x:v>Must</x:v>
      </x:c>
      <x:c r="I126" s="10" t="str">
        <x:v>Not started</x:v>
      </x:c>
      <x:c r="J126" s="10" t="str">
        <x:v>Operations lead</x:v>
      </x:c>
      <x:c r="K126" s="7" t="str">
        <x:v>WP02 WP05 WP07 WP08 WP09 WP10</x:v>
      </x:c>
      <x:c r="L126" s="7" t="str">
        <x:v>TC-BR-OPS-03-A TC-BR-OPS-03-B</x:v>
      </x:c>
      <x:c r="M126" s="10" t="str">
        <x:v>Unestimated</x:v>
      </x:c>
      <x:c r="N126" s="10" t="str"/>
    </x:row>
    <x:row r="127" ht="35.25" customHeight="1">
      <x:c r="A127" s="8" t="str">
        <x:v>ENG-BR-OPS-04</x:v>
      </x:c>
      <x:c r="B127" s="8" t="str">
        <x:v>WP11</x:v>
      </x:c>
      <x:c r="C127" s="8" t="str">
        <x:v>BR-OPS-04</x:v>
      </x:c>
      <x:c r="D127" s="8" t="str">
        <x:v>FR-OPS-04</x:v>
      </x:c>
      <x:c r="E127" s="8" t="str">
        <x:v>Operational monitoring</x:v>
      </x:c>
      <x:c r="F127" s="8" t="str">
        <x:v>Alert rules cover service, queue, provider, policy and cost failures and route to an accountable team.</x:v>
      </x:c>
      <x:c r="G127" s="8" t="str">
        <x:v>R1</x:v>
      </x:c>
      <x:c r="H127" s="8" t="str">
        <x:v>Must</x:v>
      </x:c>
      <x:c r="I127" s="10" t="str">
        <x:v>Not started</x:v>
      </x:c>
      <x:c r="J127" s="10" t="str">
        <x:v>Operations lead</x:v>
      </x:c>
      <x:c r="K127" s="8" t="str">
        <x:v>WP02 WP05 WP07 WP08 WP09 WP10</x:v>
      </x:c>
      <x:c r="L127" s="8" t="str">
        <x:v>TC-BR-OPS-04-A TC-BR-OPS-04-B</x:v>
      </x:c>
      <x:c r="M127" s="10" t="str">
        <x:v>Unestimated</x:v>
      </x:c>
      <x:c r="N127" s="10" t="str"/>
    </x:row>
    <x:row r="128" ht="35.25" customHeight="1">
      <x:c r="A128" s="7" t="str">
        <x:v>ENG-BR-OPS-05</x:v>
      </x:c>
      <x:c r="B128" s="7" t="str">
        <x:v>WP11</x:v>
      </x:c>
      <x:c r="C128" s="7" t="str">
        <x:v>BR-OPS-05</x:v>
      </x:c>
      <x:c r="D128" s="7" t="str">
        <x:v>FR-OPS-05</x:v>
      </x:c>
      <x:c r="E128" s="7" t="str">
        <x:v>Support without unnecessary disclosure</x:v>
      </x:c>
      <x:c r="F128" s="7" t="str">
        <x:v>Support tickets expose redacted diagnostics first. Clinical content requires a separate scoped expiring grant.</x:v>
      </x:c>
      <x:c r="G128" s="7" t="str">
        <x:v>R1</x:v>
      </x:c>
      <x:c r="H128" s="7" t="str">
        <x:v>Must</x:v>
      </x:c>
      <x:c r="I128" s="10" t="str">
        <x:v>Not started</x:v>
      </x:c>
      <x:c r="J128" s="10" t="str">
        <x:v>Operations lead</x:v>
      </x:c>
      <x:c r="K128" s="7" t="str">
        <x:v>WP02 WP05 WP07 WP08 WP09 WP10</x:v>
      </x:c>
      <x:c r="L128" s="7" t="str">
        <x:v>TC-BR-OPS-05-A TC-BR-OPS-05-B</x:v>
      </x:c>
      <x:c r="M128" s="10" t="str">
        <x:v>Unestimated</x:v>
      </x:c>
      <x:c r="N128" s="10" t="str"/>
    </x:row>
    <x:row r="129" ht="35.25" customHeight="1">
      <x:c r="A129" s="8" t="str">
        <x:v>ENG-BR-OPS-06</x:v>
      </x:c>
      <x:c r="B129" s="8" t="str">
        <x:v>WP11</x:v>
      </x:c>
      <x:c r="C129" s="8" t="str">
        <x:v>BR-OPS-06</x:v>
      </x:c>
      <x:c r="D129" s="8" t="str">
        <x:v>FR-OPS-06</x:v>
      </x:c>
      <x:c r="E129" s="8" t="str">
        <x:v>Training and competency</x:v>
      </x:c>
      <x:c r="F129" s="8" t="str">
        <x:v>Activation records completed role-specific training and a competency assessment in the synthetic environment.</x:v>
      </x:c>
      <x:c r="G129" s="8" t="str">
        <x:v>R1</x:v>
      </x:c>
      <x:c r="H129" s="8" t="str">
        <x:v>Must</x:v>
      </x:c>
      <x:c r="I129" s="10" t="str">
        <x:v>Not started</x:v>
      </x:c>
      <x:c r="J129" s="10" t="str">
        <x:v>Operations lead</x:v>
      </x:c>
      <x:c r="K129" s="8" t="str">
        <x:v>WP02 WP05 WP07 WP08 WP09 WP10</x:v>
      </x:c>
      <x:c r="L129" s="8" t="str">
        <x:v>TC-BR-OPS-06-A TC-BR-OPS-06-B</x:v>
      </x:c>
      <x:c r="M129" s="10" t="str">
        <x:v>Unestimated</x:v>
      </x:c>
      <x:c r="N129" s="10" t="str"/>
    </x:row>
    <x:row r="130" ht="35.25" customHeight="1">
      <x:c r="A130" s="7" t="str">
        <x:v>ENG-BR-OPS-07</x:v>
      </x:c>
      <x:c r="B130" s="7" t="str">
        <x:v>WP11</x:v>
      </x:c>
      <x:c r="C130" s="7" t="str">
        <x:v>BR-OPS-07</x:v>
      </x:c>
      <x:c r="D130" s="7" t="str">
        <x:v>FR-OPS-07</x:v>
      </x:c>
      <x:c r="E130" s="7" t="str">
        <x:v>Data exit and continuity</x:v>
      </x:c>
      <x:c r="F130" s="7" t="str">
        <x:v>Exit exports preserve IDs, provenance, record versions and open tasks; verify counts with the receiving operator.</x:v>
      </x:c>
      <x:c r="G130" s="7" t="str">
        <x:v>R1</x:v>
      </x:c>
      <x:c r="H130" s="7" t="str">
        <x:v>Must</x:v>
      </x:c>
      <x:c r="I130" s="10" t="str">
        <x:v>Not started</x:v>
      </x:c>
      <x:c r="J130" s="10" t="str">
        <x:v>Operations lead</x:v>
      </x:c>
      <x:c r="K130" s="7" t="str">
        <x:v>WP02 WP05 WP07 WP08 WP09 WP10</x:v>
      </x:c>
      <x:c r="L130" s="7" t="str">
        <x:v>TC-BR-OPS-07-A TC-BR-OPS-07-B</x:v>
      </x:c>
      <x:c r="M130" s="10" t="str">
        <x:v>Unestimated</x:v>
      </x:c>
      <x:c r="N130" s="10" t="str"/>
    </x:row>
    <x:row r="131" ht="35.25" customHeight="1">
      <x:c r="A131" s="8" t="str">
        <x:v>ENG-BR-OPS-08</x:v>
      </x:c>
      <x:c r="B131" s="8" t="str">
        <x:v>WP11</x:v>
      </x:c>
      <x:c r="C131" s="8" t="str">
        <x:v>BR-OPS-08</x:v>
      </x:c>
      <x:c r="D131" s="8" t="str">
        <x:v>FR-OPS-08</x:v>
      </x:c>
      <x:c r="E131" s="8" t="str">
        <x:v>Repeatable deployment packaging</x:v>
      </x:c>
      <x:c r="F131" s="8" t="str">
        <x:v>A deployment manifest packages reviewed config and references secrets by name rather than embedding them.</x:v>
      </x:c>
      <x:c r="G131" s="8" t="str">
        <x:v>R2</x:v>
      </x:c>
      <x:c r="H131" s="8" t="str">
        <x:v>Should</x:v>
      </x:c>
      <x:c r="I131" s="10" t="str">
        <x:v>Not started</x:v>
      </x:c>
      <x:c r="J131" s="10" t="str">
        <x:v>Operations lead</x:v>
      </x:c>
      <x:c r="K131" s="8" t="str">
        <x:v>WP02 WP05 WP07 WP08 WP09 WP10</x:v>
      </x:c>
      <x:c r="L131" s="8" t="str">
        <x:v>TC-BR-OPS-08-A TC-BR-OPS-08-B</x:v>
      </x:c>
      <x:c r="M131" s="10" t="str">
        <x:v>Unestimated</x:v>
      </x:c>
      <x:c r="N131" s="10" t="str"/>
    </x:row>
    <x:row r="132" ht="35.25" customHeight="1">
      <x:c r="A132" s="7" t="str">
        <x:v>ENG-BR-SEC-01</x:v>
      </x:c>
      <x:c r="B132" s="7" t="str">
        <x:v>WP02</x:v>
      </x:c>
      <x:c r="C132" s="7" t="str">
        <x:v>BR-SEC-01</x:v>
      </x:c>
      <x:c r="D132" s="7" t="str">
        <x:v>FR-SEC-01</x:v>
      </x:c>
      <x:c r="E132" s="7" t="str">
        <x:v>Purpose and lawful authority</x:v>
      </x:c>
      <x:c r="F132" s="7" t="str">
        <x:v>Authority records distinguish consent-based flows from other approved processing bases and specify allowed purpose and recipients.</x:v>
      </x:c>
      <x:c r="G132" s="7" t="str">
        <x:v>R1</x:v>
      </x:c>
      <x:c r="H132" s="7" t="str">
        <x:v>Must</x:v>
      </x:c>
      <x:c r="I132" s="10" t="str">
        <x:v>Not started</x:v>
      </x:c>
      <x:c r="J132" s="10" t="str">
        <x:v>Security lead</x:v>
      </x:c>
      <x:c r="K132" s="7" t="str">
        <x:v>WP01</x:v>
      </x:c>
      <x:c r="L132" s="7" t="str">
        <x:v>TC-BR-SEC-01-A TC-BR-SEC-01-B</x:v>
      </x:c>
      <x:c r="M132" s="10" t="str">
        <x:v>Unestimated</x:v>
      </x:c>
      <x:c r="N132" s="10" t="str"/>
    </x:row>
    <x:row r="133" ht="35.25" customHeight="1">
      <x:c r="A133" s="8" t="str">
        <x:v>ENG-BR-SEC-02</x:v>
      </x:c>
      <x:c r="B133" s="8" t="str">
        <x:v>WP02</x:v>
      </x:c>
      <x:c r="C133" s="8" t="str">
        <x:v>BR-SEC-02</x:v>
      </x:c>
      <x:c r="D133" s="8" t="str">
        <x:v>FR-SEC-02</x:v>
      </x:c>
      <x:c r="E133" s="8" t="str">
        <x:v>Understandable notice and consent</x:v>
      </x:c>
      <x:c r="F133" s="8" t="str">
        <x:v>Notices have language and version, and record the actor, relationship, decision, time and purpose.</x:v>
      </x:c>
      <x:c r="G133" s="8" t="str">
        <x:v>R1</x:v>
      </x:c>
      <x:c r="H133" s="8" t="str">
        <x:v>Must</x:v>
      </x:c>
      <x:c r="I133" s="10" t="str">
        <x:v>Not started</x:v>
      </x:c>
      <x:c r="J133" s="10" t="str">
        <x:v>Security lead</x:v>
      </x:c>
      <x:c r="K133" s="8" t="str">
        <x:v>WP01</x:v>
      </x:c>
      <x:c r="L133" s="8" t="str">
        <x:v>TC-BR-SEC-02-A TC-BR-SEC-02-B</x:v>
      </x:c>
      <x:c r="M133" s="10" t="str">
        <x:v>Unestimated</x:v>
      </x:c>
      <x:c r="N133" s="10" t="str"/>
    </x:row>
    <x:row r="134" ht="35.25" customHeight="1">
      <x:c r="A134" s="7" t="str">
        <x:v>ENG-BR-SEC-03</x:v>
      </x:c>
      <x:c r="B134" s="7" t="str">
        <x:v>WP02</x:v>
      </x:c>
      <x:c r="C134" s="7" t="str">
        <x:v>BR-SEC-03</x:v>
      </x:c>
      <x:c r="D134" s="7" t="str">
        <x:v>FR-SEC-03</x:v>
      </x:c>
      <x:c r="E134" s="7" t="str">
        <x:v>Withdrawal and downstream effects</x:v>
      </x:c>
      <x:c r="F134" s="7" t="str">
        <x:v>Revocation invalidates pending disclosures immediately online and schedules device and recipient disposition actions.</x:v>
      </x:c>
      <x:c r="G134" s="7" t="str">
        <x:v>R1</x:v>
      </x:c>
      <x:c r="H134" s="7" t="str">
        <x:v>Must</x:v>
      </x:c>
      <x:c r="I134" s="10" t="str">
        <x:v>Not started</x:v>
      </x:c>
      <x:c r="J134" s="10" t="str">
        <x:v>Security lead</x:v>
      </x:c>
      <x:c r="K134" s="7" t="str">
        <x:v>WP01</x:v>
      </x:c>
      <x:c r="L134" s="7" t="str">
        <x:v>TC-BR-SEC-03-A TC-BR-SEC-03-B</x:v>
      </x:c>
      <x:c r="M134" s="10" t="str">
        <x:v>Unestimated</x:v>
      </x:c>
      <x:c r="N134" s="10" t="str"/>
    </x:row>
    <x:row r="135" ht="35.25" customHeight="1">
      <x:c r="A135" s="8" t="str">
        <x:v>ENG-BR-SEC-04</x:v>
      </x:c>
      <x:c r="B135" s="8" t="str">
        <x:v>WP02</x:v>
      </x:c>
      <x:c r="C135" s="8" t="str">
        <x:v>BR-SEC-04</x:v>
      </x:c>
      <x:c r="D135" s="8" t="str">
        <x:v>FR-SEC-04</x:v>
      </x:c>
      <x:c r="E135" s="8" t="str">
        <x:v>Sensitive data and proxy handling</x:v>
      </x:c>
      <x:c r="F135" s="8" t="str">
        <x:v>Sensitive data classes and proxy rules are evaluated before views, exports, notifications and model payload construction.</x:v>
      </x:c>
      <x:c r="G135" s="8" t="str">
        <x:v>R1</x:v>
      </x:c>
      <x:c r="H135" s="8" t="str">
        <x:v>Must</x:v>
      </x:c>
      <x:c r="I135" s="10" t="str">
        <x:v>Not started</x:v>
      </x:c>
      <x:c r="J135" s="10" t="str">
        <x:v>Security lead</x:v>
      </x:c>
      <x:c r="K135" s="8" t="str">
        <x:v>WP01</x:v>
      </x:c>
      <x:c r="L135" s="8" t="str">
        <x:v>TC-BR-SEC-04-A TC-BR-SEC-04-B</x:v>
      </x:c>
      <x:c r="M135" s="10" t="str">
        <x:v>Unestimated</x:v>
      </x:c>
      <x:c r="N135" s="10" t="str"/>
    </x:row>
    <x:row r="136" ht="35.25" customHeight="1">
      <x:c r="A136" s="7" t="str">
        <x:v>ENG-BR-SEC-05</x:v>
      </x:c>
      <x:c r="B136" s="7" t="str">
        <x:v>WP02</x:v>
      </x:c>
      <x:c r="C136" s="7" t="str">
        <x:v>BR-SEC-05</x:v>
      </x:c>
      <x:c r="D136" s="7" t="str">
        <x:v>FR-SEC-05</x:v>
      </x:c>
      <x:c r="E136" s="7" t="str">
        <x:v>Encryption and secrets</x:v>
      </x:c>
      <x:c r="F136" s="7" t="str">
        <x:v>TLS, envelope encryption and secret references protect data; key rotation and access are audited separately.</x:v>
      </x:c>
      <x:c r="G136" s="7" t="str">
        <x:v>R1</x:v>
      </x:c>
      <x:c r="H136" s="7" t="str">
        <x:v>Must</x:v>
      </x:c>
      <x:c r="I136" s="10" t="str">
        <x:v>Not started</x:v>
      </x:c>
      <x:c r="J136" s="10" t="str">
        <x:v>Security lead</x:v>
      </x:c>
      <x:c r="K136" s="7" t="str">
        <x:v>WP01</x:v>
      </x:c>
      <x:c r="L136" s="7" t="str">
        <x:v>TC-BR-SEC-05-A TC-BR-SEC-05-B</x:v>
      </x:c>
      <x:c r="M136" s="10" t="str">
        <x:v>Unestimated</x:v>
      </x:c>
      <x:c r="N136" s="10" t="str"/>
    </x:row>
    <x:row r="137" ht="35.25" customHeight="1">
      <x:c r="A137" s="8" t="str">
        <x:v>ENG-BR-SEC-06</x:v>
      </x:c>
      <x:c r="B137" s="8" t="str">
        <x:v>WP02</x:v>
      </x:c>
      <x:c r="C137" s="8" t="str">
        <x:v>BR-SEC-06</x:v>
      </x:c>
      <x:c r="D137" s="8" t="str">
        <x:v>FR-SEC-06</x:v>
      </x:c>
      <x:c r="E137" s="8" t="str">
        <x:v>Tenant and record isolation</x:v>
      </x:c>
      <x:c r="F137" s="8" t="str">
        <x:v>Every object query and attachment token enforces tenant and record policy; database RLS supplies a second tenant boundary.</x:v>
      </x:c>
      <x:c r="G137" s="8" t="str">
        <x:v>R1</x:v>
      </x:c>
      <x:c r="H137" s="8" t="str">
        <x:v>Must</x:v>
      </x:c>
      <x:c r="I137" s="10" t="str">
        <x:v>Not started</x:v>
      </x:c>
      <x:c r="J137" s="10" t="str">
        <x:v>Security lead</x:v>
      </x:c>
      <x:c r="K137" s="8" t="str">
        <x:v>WP01</x:v>
      </x:c>
      <x:c r="L137" s="8" t="str">
        <x:v>TC-BR-SEC-06-A TC-BR-SEC-06-B</x:v>
      </x:c>
      <x:c r="M137" s="10" t="str">
        <x:v>Unestimated</x:v>
      </x:c>
      <x:c r="N137" s="10" t="str"/>
    </x:row>
    <x:row r="138" ht="35.25" customHeight="1">
      <x:c r="A138" s="7" t="str">
        <x:v>ENG-BR-SEC-07</x:v>
      </x:c>
      <x:c r="B138" s="7" t="str">
        <x:v>WP02</x:v>
      </x:c>
      <x:c r="C138" s="7" t="str">
        <x:v>BR-SEC-07</x:v>
      </x:c>
      <x:c r="D138" s="7" t="str">
        <x:v>FR-SEC-07</x:v>
      </x:c>
      <x:c r="E138" s="7" t="str">
        <x:v>Safe logs and analytics</x:v>
      </x:c>
      <x:c r="F138" s="7" t="str">
        <x:v>A structured logging allowlist excludes clinical values, credentials, raw prompts and recording bytes.</x:v>
      </x:c>
      <x:c r="G138" s="7" t="str">
        <x:v>R1</x:v>
      </x:c>
      <x:c r="H138" s="7" t="str">
        <x:v>Must</x:v>
      </x:c>
      <x:c r="I138" s="10" t="str">
        <x:v>Not started</x:v>
      </x:c>
      <x:c r="J138" s="10" t="str">
        <x:v>Security lead</x:v>
      </x:c>
      <x:c r="K138" s="7" t="str">
        <x:v>WP01</x:v>
      </x:c>
      <x:c r="L138" s="7" t="str">
        <x:v>TC-BR-SEC-07-A TC-BR-SEC-07-B</x:v>
      </x:c>
      <x:c r="M138" s="10" t="str">
        <x:v>Unestimated</x:v>
      </x:c>
      <x:c r="N138" s="10" t="str"/>
    </x:row>
    <x:row r="139" ht="35.25" customHeight="1">
      <x:c r="A139" s="8" t="str">
        <x:v>ENG-BR-SEC-08</x:v>
      </x:c>
      <x:c r="B139" s="8" t="str">
        <x:v>WP02</x:v>
      </x:c>
      <x:c r="C139" s="8" t="str">
        <x:v>BR-SEC-08</x:v>
      </x:c>
      <x:c r="D139" s="8" t="str">
        <x:v>FR-SEC-08</x:v>
      </x:c>
      <x:c r="E139" s="8" t="str">
        <x:v>Audit evidence</x:v>
      </x:c>
      <x:c r="F139" s="8" t="str">
        <x:v>A material command commits its audit record atomically; durable read-access audit precedes sensitive data return.</x:v>
      </x:c>
      <x:c r="G139" s="8" t="str">
        <x:v>R1</x:v>
      </x:c>
      <x:c r="H139" s="8" t="str">
        <x:v>Must</x:v>
      </x:c>
      <x:c r="I139" s="10" t="str">
        <x:v>Not started</x:v>
      </x:c>
      <x:c r="J139" s="10" t="str">
        <x:v>Security lead</x:v>
      </x:c>
      <x:c r="K139" s="8" t="str">
        <x:v>WP01</x:v>
      </x:c>
      <x:c r="L139" s="8" t="str">
        <x:v>TC-BR-SEC-08-A TC-BR-SEC-08-B</x:v>
      </x:c>
      <x:c r="M139" s="10" t="str">
        <x:v>Unestimated</x:v>
      </x:c>
      <x:c r="N139" s="10" t="str"/>
    </x:row>
    <x:row r="140" ht="35.25" customHeight="1">
      <x:c r="A140" s="7" t="str">
        <x:v>ENG-BR-SEC-09</x:v>
      </x:c>
      <x:c r="B140" s="7" t="str">
        <x:v>WP02</x:v>
      </x:c>
      <x:c r="C140" s="7" t="str">
        <x:v>BR-SEC-09</x:v>
      </x:c>
      <x:c r="D140" s="7" t="str">
        <x:v>FR-SEC-09</x:v>
      </x:c>
      <x:c r="E140" s="7" t="str">
        <x:v>Controlled retention and disposal</x:v>
      </x:c>
      <x:c r="F140" s="7" t="str">
        <x:v>Retention jobs require record class, schedule, legal-hold checks and evidence of actual disposal at each storage tier.</x:v>
      </x:c>
      <x:c r="G140" s="7" t="str">
        <x:v>R1</x:v>
      </x:c>
      <x:c r="H140" s="7" t="str">
        <x:v>Must</x:v>
      </x:c>
      <x:c r="I140" s="10" t="str">
        <x:v>Not started</x:v>
      </x:c>
      <x:c r="J140" s="10" t="str">
        <x:v>Security lead</x:v>
      </x:c>
      <x:c r="K140" s="7" t="str">
        <x:v>WP01</x:v>
      </x:c>
      <x:c r="L140" s="7" t="str">
        <x:v>TC-BR-SEC-09-A TC-BR-SEC-09-B</x:v>
      </x:c>
      <x:c r="M140" s="10" t="str">
        <x:v>Unestimated</x:v>
      </x:c>
      <x:c r="N140" s="10" t="str"/>
    </x:row>
    <x:row r="141" ht="35.25" customHeight="1">
      <x:c r="A141" s="8" t="str">
        <x:v>ENG-BR-SEC-10</x:v>
      </x:c>
      <x:c r="B141" s="8" t="str">
        <x:v>WP02</x:v>
      </x:c>
      <x:c r="C141" s="8" t="str">
        <x:v>BR-SEC-10</x:v>
      </x:c>
      <x:c r="D141" s="8" t="str">
        <x:v>FR-SEC-10</x:v>
      </x:c>
      <x:c r="E141" s="8" t="str">
        <x:v>Rights and correction workflow</x:v>
      </x:c>
      <x:c r="F141" s="8" t="str">
        <x:v>Rights cases verify requester identity, track affected custodians and deadlines, and record evidence-backed resolution.</x:v>
      </x:c>
      <x:c r="G141" s="8" t="str">
        <x:v>R1</x:v>
      </x:c>
      <x:c r="H141" s="8" t="str">
        <x:v>Must</x:v>
      </x:c>
      <x:c r="I141" s="10" t="str">
        <x:v>Not started</x:v>
      </x:c>
      <x:c r="J141" s="10" t="str">
        <x:v>Security lead</x:v>
      </x:c>
      <x:c r="K141" s="8" t="str">
        <x:v>WP01</x:v>
      </x:c>
      <x:c r="L141" s="8" t="str">
        <x:v>TC-BR-SEC-10-A TC-BR-SEC-10-B</x:v>
      </x:c>
      <x:c r="M141" s="10" t="str">
        <x:v>Unestimated</x:v>
      </x:c>
      <x:c r="N141" s="10" t="str"/>
    </x:row>
    <x:row r="142" ht="35.25" customHeight="1">
      <x:c r="A142" s="7" t="str">
        <x:v>ENG-BR-SEC-11</x:v>
      </x:c>
      <x:c r="B142" s="7" t="str">
        <x:v>WP02</x:v>
      </x:c>
      <x:c r="C142" s="7" t="str">
        <x:v>BR-SEC-11</x:v>
      </x:c>
      <x:c r="D142" s="7" t="str">
        <x:v>FR-SEC-11</x:v>
      </x:c>
      <x:c r="E142" s="7" t="str">
        <x:v>Emergency and support access</x:v>
      </x:c>
      <x:c r="F142" s="7" t="str">
        <x:v>Exceptional access requires an approved role, purpose, scope, expiry and independent retrospective review.</x:v>
      </x:c>
      <x:c r="G142" s="7" t="str">
        <x:v>R1</x:v>
      </x:c>
      <x:c r="H142" s="7" t="str">
        <x:v>Must</x:v>
      </x:c>
      <x:c r="I142" s="10" t="str">
        <x:v>Not started</x:v>
      </x:c>
      <x:c r="J142" s="10" t="str">
        <x:v>Security lead</x:v>
      </x:c>
      <x:c r="K142" s="7" t="str">
        <x:v>WP01</x:v>
      </x:c>
      <x:c r="L142" s="7" t="str">
        <x:v>TC-BR-SEC-11-A TC-BR-SEC-11-B</x:v>
      </x:c>
      <x:c r="M142" s="10" t="str">
        <x:v>Unestimated</x:v>
      </x:c>
      <x:c r="N142" s="10" t="str"/>
    </x:row>
    <x:row r="143" ht="35.25" customHeight="1">
      <x:c r="A143" s="8" t="str">
        <x:v>ENG-BR-SEC-12</x:v>
      </x:c>
      <x:c r="B143" s="8" t="str">
        <x:v>WP02</x:v>
      </x:c>
      <x:c r="C143" s="8" t="str">
        <x:v>BR-SEC-12</x:v>
      </x:c>
      <x:c r="D143" s="8" t="str">
        <x:v>FR-SEC-12</x:v>
      </x:c>
      <x:c r="E143" s="8" t="str">
        <x:v>Provider and supply-chain assurance</x:v>
      </x:c>
      <x:c r="F143" s="8" t="str">
        <x:v>Provider onboarding records dependencies, subprocessors, update obligations and vulnerability response ownership.</x:v>
      </x:c>
      <x:c r="G143" s="8" t="str">
        <x:v>R1</x:v>
      </x:c>
      <x:c r="H143" s="8" t="str">
        <x:v>Must</x:v>
      </x:c>
      <x:c r="I143" s="10" t="str">
        <x:v>Not started</x:v>
      </x:c>
      <x:c r="J143" s="10" t="str">
        <x:v>Security lead</x:v>
      </x:c>
      <x:c r="K143" s="8" t="str">
        <x:v>WP01</x:v>
      </x:c>
      <x:c r="L143" s="8" t="str">
        <x:v>TC-BR-SEC-12-A TC-BR-SEC-12-B</x:v>
      </x:c>
      <x:c r="M143" s="10" t="str">
        <x:v>Unestimated</x:v>
      </x:c>
      <x:c r="N143" s="10" t="str"/>
    </x:row>
    <x:row r="144" ht="35.25" customHeight="1">
      <x:c r="A144" s="7" t="str">
        <x:v>ENG-BR-SEC-13</x:v>
      </x:c>
      <x:c r="B144" s="7" t="str">
        <x:v>WP02</x:v>
      </x:c>
      <x:c r="C144" s="7" t="str">
        <x:v>BR-SEC-13</x:v>
      </x:c>
      <x:c r="D144" s="7" t="str">
        <x:v>FR-SEC-13</x:v>
      </x:c>
      <x:c r="E144" s="7" t="str">
        <x:v>Incident response</x:v>
      </x:c>
      <x:c r="F144" s="7" t="str">
        <x:v>Incident records retain timeline, containment, affected scope and jurisdiction-specific notification decisions.</x:v>
      </x:c>
      <x:c r="G144" s="7" t="str">
        <x:v>R1</x:v>
      </x:c>
      <x:c r="H144" s="7" t="str">
        <x:v>Must</x:v>
      </x:c>
      <x:c r="I144" s="10" t="str">
        <x:v>Not started</x:v>
      </x:c>
      <x:c r="J144" s="10" t="str">
        <x:v>Security lead</x:v>
      </x:c>
      <x:c r="K144" s="7" t="str">
        <x:v>WP01</x:v>
      </x:c>
      <x:c r="L144" s="7" t="str">
        <x:v>TC-BR-SEC-13-A TC-BR-SEC-13-B</x:v>
      </x:c>
      <x:c r="M144" s="10" t="str">
        <x:v>Unestimated</x:v>
      </x:c>
      <x:c r="N144" s="10" t="str"/>
    </x:row>
    <x:row r="145" ht="35.25" customHeight="1">
      <x:c r="A145" s="8" t="str">
        <x:v>ENG-BR-SEC-14</x:v>
      </x:c>
      <x:c r="B145" s="8" t="str">
        <x:v>WP02</x:v>
      </x:c>
      <x:c r="C145" s="8" t="str">
        <x:v>BR-SEC-14</x:v>
      </x:c>
      <x:c r="D145" s="8" t="str">
        <x:v>FR-SEC-14</x:v>
      </x:c>
      <x:c r="E145" s="8" t="str">
        <x:v>Hosting and cross-border controls</x:v>
      </x:c>
      <x:c r="F145" s="8" t="str">
        <x:v>Routing policy constrains provider, storage, backup and support regions before any transfer.</x:v>
      </x:c>
      <x:c r="G145" s="8" t="str">
        <x:v>R1</x:v>
      </x:c>
      <x:c r="H145" s="8" t="str">
        <x:v>Must</x:v>
      </x:c>
      <x:c r="I145" s="10" t="str">
        <x:v>Not started</x:v>
      </x:c>
      <x:c r="J145" s="10" t="str">
        <x:v>Security lead</x:v>
      </x:c>
      <x:c r="K145" s="8" t="str">
        <x:v>WP01</x:v>
      </x:c>
      <x:c r="L145" s="8" t="str">
        <x:v>TC-BR-SEC-14-A TC-BR-SEC-14-B</x:v>
      </x:c>
      <x:c r="M145" s="10" t="str">
        <x:v>Unestimated</x:v>
      </x:c>
      <x:c r="N145" s="10" t="str"/>
    </x:row>
    <x:row r="146" ht="35.25" customHeight="1">
      <x:c r="A146" s="7" t="str">
        <x:v>ENG-BR-RULE-01</x:v>
      </x:c>
      <x:c r="B146" s="7" t="str">
        <x:v>WP02</x:v>
      </x:c>
      <x:c r="C146" s="7" t="str">
        <x:v>BR-RULE-01</x:v>
      </x:c>
      <x:c r="D146" s="7" t="str">
        <x:v>FR-RULE-01</x:v>
      </x:c>
      <x:c r="E146" s="7" t="str">
        <x:v>No invented facts</x:v>
      </x:c>
      <x:c r="F146" s="7" t="str">
        <x:v>Observation validation requires a real captured value or explicit missingness; model-derived values carry derivation references.</x:v>
      </x:c>
      <x:c r="G146" s="7" t="str">
        <x:v>R1</x:v>
      </x:c>
      <x:c r="H146" s="7" t="str">
        <x:v>Must</x:v>
      </x:c>
      <x:c r="I146" s="10" t="str">
        <x:v>Not started</x:v>
      </x:c>
      <x:c r="J146" s="10" t="str">
        <x:v>Security lead</x:v>
      </x:c>
      <x:c r="K146" s="7" t="str">
        <x:v>WP01</x:v>
      </x:c>
      <x:c r="L146" s="7" t="str">
        <x:v>TC-BR-RULE-01-A TC-BR-RULE-01-B</x:v>
      </x:c>
      <x:c r="M146" s="10" t="str">
        <x:v>Unestimated</x:v>
      </x:c>
      <x:c r="N146" s="10" t="str"/>
    </x:row>
    <x:row r="147" ht="35.25" customHeight="1">
      <x:c r="A147" s="8" t="str">
        <x:v>ENG-BR-RULE-02</x:v>
      </x:c>
      <x:c r="B147" s="8" t="str">
        <x:v>WP02</x:v>
      </x:c>
      <x:c r="C147" s="8" t="str">
        <x:v>BR-RULE-02</x:v>
      </x:c>
      <x:c r="D147" s="8" t="str">
        <x:v>FR-RULE-02</x:v>
      </x:c>
      <x:c r="E147" s="8" t="str">
        <x:v>Patient confirmation before commitment</x:v>
      </x:c>
      <x:c r="F147" s="8" t="str">
        <x:v>Consequential commands require a recently confirmed patient context tied to the encounter revision.</x:v>
      </x:c>
      <x:c r="G147" s="8" t="str">
        <x:v>R1</x:v>
      </x:c>
      <x:c r="H147" s="8" t="str">
        <x:v>Must</x:v>
      </x:c>
      <x:c r="I147" s="10" t="str">
        <x:v>Not started</x:v>
      </x:c>
      <x:c r="J147" s="10" t="str">
        <x:v>Security lead</x:v>
      </x:c>
      <x:c r="K147" s="8" t="str">
        <x:v>WP01</x:v>
      </x:c>
      <x:c r="L147" s="8" t="str">
        <x:v>TC-BR-RULE-02-A TC-BR-RULE-02-B</x:v>
      </x:c>
      <x:c r="M147" s="10" t="str">
        <x:v>Unestimated</x:v>
      </x:c>
      <x:c r="N147" s="10" t="str"/>
    </x:row>
    <x:row r="148" ht="35.25" customHeight="1">
      <x:c r="A148" s="7" t="str">
        <x:v>ENG-BR-RULE-03</x:v>
      </x:c>
      <x:c r="B148" s="7" t="str">
        <x:v>WP02</x:v>
      </x:c>
      <x:c r="C148" s="7" t="str">
        <x:v>BR-RULE-03</x:v>
      </x:c>
      <x:c r="D148" s="7" t="str">
        <x:v>FR-RULE-03</x:v>
      </x:c>
      <x:c r="E148" s="7" t="str">
        <x:v>Review depends on unchanged evidence</x:v>
      </x:c>
      <x:c r="F148" s="7" t="str">
        <x:v>Approval includes hashes of facts, action, recipient, purpose, rules and model versions.</x:v>
      </x:c>
      <x:c r="G148" s="7" t="str">
        <x:v>R1</x:v>
      </x:c>
      <x:c r="H148" s="7" t="str">
        <x:v>Must</x:v>
      </x:c>
      <x:c r="I148" s="10" t="str">
        <x:v>Not started</x:v>
      </x:c>
      <x:c r="J148" s="10" t="str">
        <x:v>Security lead</x:v>
      </x:c>
      <x:c r="K148" s="7" t="str">
        <x:v>WP01</x:v>
      </x:c>
      <x:c r="L148" s="7" t="str">
        <x:v>TC-BR-RULE-03-A TC-BR-RULE-03-B</x:v>
      </x:c>
      <x:c r="M148" s="10" t="str">
        <x:v>Unestimated</x:v>
      </x:c>
      <x:c r="N148" s="10" t="str"/>
    </x:row>
    <x:row r="149" ht="35.25" customHeight="1">
      <x:c r="A149" s="8" t="str">
        <x:v>ENG-BR-RULE-04</x:v>
      </x:c>
      <x:c r="B149" s="8" t="str">
        <x:v>WP02</x:v>
      </x:c>
      <x:c r="C149" s="8" t="str">
        <x:v>BR-RULE-04</x:v>
      </x:c>
      <x:c r="D149" s="8" t="str">
        <x:v>FR-RULE-04</x:v>
      </x:c>
      <x:c r="E149" s="8" t="str">
        <x:v>Honest completion and cancellation</x:v>
      </x:c>
      <x:c r="F149" s="8" t="str">
        <x:v>Local task cancellation records remaining external obligations; it never rewrites destination receipts.</x:v>
      </x:c>
      <x:c r="G149" s="8" t="str">
        <x:v>R1</x:v>
      </x:c>
      <x:c r="H149" s="8" t="str">
        <x:v>Must</x:v>
      </x:c>
      <x:c r="I149" s="10" t="str">
        <x:v>Not started</x:v>
      </x:c>
      <x:c r="J149" s="10" t="str">
        <x:v>Security lead</x:v>
      </x:c>
      <x:c r="K149" s="8" t="str">
        <x:v>WP01</x:v>
      </x:c>
      <x:c r="L149" s="8" t="str">
        <x:v>TC-BR-RULE-04-A TC-BR-RULE-04-B</x:v>
      </x:c>
      <x:c r="M149" s="10" t="str">
        <x:v>Unestimated</x:v>
      </x:c>
      <x:c r="N149" s="10" t="str"/>
    </x:row>
    <x:row r="150" ht="35.25" customHeight="1">
      <x:c r="A150" s="7" t="str">
        <x:v>ENG-BR-RULE-05</x:v>
      </x:c>
      <x:c r="B150" s="7" t="str">
        <x:v>WP02</x:v>
      </x:c>
      <x:c r="C150" s="7" t="str">
        <x:v>BR-RULE-05</x:v>
      </x:c>
      <x:c r="D150" s="7" t="str">
        <x:v>FR-RULE-05</x:v>
      </x:c>
      <x:c r="E150" s="7" t="str">
        <x:v>No false model equivalence</x:v>
      </x:c>
      <x:c r="F150" s="7" t="str">
        <x:v>Result displays preserve provider-specific scales and calibration notes; unsupported score comparisons are disallowed.</x:v>
      </x:c>
      <x:c r="G150" s="7" t="str">
        <x:v>R1</x:v>
      </x:c>
      <x:c r="H150" s="7" t="str">
        <x:v>Must</x:v>
      </x:c>
      <x:c r="I150" s="10" t="str">
        <x:v>Not started</x:v>
      </x:c>
      <x:c r="J150" s="10" t="str">
        <x:v>Security lead</x:v>
      </x:c>
      <x:c r="K150" s="7" t="str">
        <x:v>WP01</x:v>
      </x:c>
      <x:c r="L150" s="7" t="str">
        <x:v>TC-BR-RULE-05-A TC-BR-RULE-05-B</x:v>
      </x:c>
      <x:c r="M150" s="10" t="str">
        <x:v>Unestimated</x:v>
      </x:c>
      <x:c r="N150" s="10" t="str"/>
    </x:row>
    <x:row r="151" ht="35.25" customHeight="1">
      <x:c r="A151" s="8" t="str">
        <x:v>ENG-BR-RULE-06</x:v>
      </x:c>
      <x:c r="B151" s="8" t="str">
        <x:v>WP02</x:v>
      </x:c>
      <x:c r="C151" s="8" t="str">
        <x:v>BR-RULE-06</x:v>
      </x:c>
      <x:c r="D151" s="8" t="str">
        <x:v>FR-RULE-06</x:v>
      </x:c>
      <x:c r="E151" s="8" t="str">
        <x:v>Rechecks at execution time</x:v>
      </x:c>
      <x:c r="F151" s="8" t="str">
        <x:v>Execution performs current policy and authority checks even when the planning-stage checks passed.</x:v>
      </x:c>
      <x:c r="G151" s="8" t="str">
        <x:v>R1</x:v>
      </x:c>
      <x:c r="H151" s="8" t="str">
        <x:v>Must</x:v>
      </x:c>
      <x:c r="I151" s="10" t="str">
        <x:v>Not started</x:v>
      </x:c>
      <x:c r="J151" s="10" t="str">
        <x:v>Security lead</x:v>
      </x:c>
      <x:c r="K151" s="8" t="str">
        <x:v>WP01</x:v>
      </x:c>
      <x:c r="L151" s="8" t="str">
        <x:v>TC-BR-RULE-06-A TC-BR-RULE-06-B</x:v>
      </x:c>
      <x:c r="M151" s="10" t="str">
        <x:v>Unestimated</x:v>
      </x:c>
      <x:c r="N151" s="10" t="str"/>
    </x:row>
    <x:row r="152" ht="35.25" customHeight="1">
      <x:c r="A152" s="7" t="str">
        <x:v>ENG-BR-RULE-07</x:v>
      </x:c>
      <x:c r="B152" s="7" t="str">
        <x:v>WP02</x:v>
      </x:c>
      <x:c r="C152" s="7" t="str">
        <x:v>BR-RULE-07</x:v>
      </x:c>
      <x:c r="D152" s="7" t="str">
        <x:v>FR-RULE-07</x:v>
      </x:c>
      <x:c r="E152" s="7" t="str">
        <x:v>No experimental output in care</x:v>
      </x:c>
      <x:c r="F152" s="7" t="str">
        <x:v>Environment and output-use labels travel with every model result; live action builders reject test or shadow results.</x:v>
      </x:c>
      <x:c r="G152" s="7" t="str">
        <x:v>R1</x:v>
      </x:c>
      <x:c r="H152" s="7" t="str">
        <x:v>Must</x:v>
      </x:c>
      <x:c r="I152" s="10" t="str">
        <x:v>Not started</x:v>
      </x:c>
      <x:c r="J152" s="10" t="str">
        <x:v>Security lead</x:v>
      </x:c>
      <x:c r="K152" s="7" t="str">
        <x:v>WP01</x:v>
      </x:c>
      <x:c r="L152" s="7" t="str">
        <x:v>TC-BR-RULE-07-A TC-BR-RULE-07-B</x:v>
      </x:c>
      <x:c r="M152" s="10" t="str">
        <x:v>Unestimated</x:v>
      </x:c>
      <x:c r="N152" s="10" t="str"/>
    </x:row>
    <x:row r="153" ht="35.25" customHeight="1">
      <x:c r="A153" s="8" t="str">
        <x:v>ENG-BR-RULE-08</x:v>
      </x:c>
      <x:c r="B153" s="8" t="str">
        <x:v>WP02</x:v>
      </x:c>
      <x:c r="C153" s="8" t="str">
        <x:v>BR-RULE-08</x:v>
      </x:c>
      <x:c r="D153" s="8" t="str">
        <x:v>FR-RULE-08</x:v>
      </x:c>
      <x:c r="E153" s="8" t="str">
        <x:v>No silent adverse allocation</x:v>
      </x:c>
      <x:c r="F153" s="8" t="str">
        <x:v>The action catalogue excludes autonomous benefits, sanctions and employment decisions.</x:v>
      </x:c>
      <x:c r="G153" s="8" t="str">
        <x:v>R1</x:v>
      </x:c>
      <x:c r="H153" s="8" t="str">
        <x:v>Must</x:v>
      </x:c>
      <x:c r="I153" s="10" t="str">
        <x:v>Not started</x:v>
      </x:c>
      <x:c r="J153" s="10" t="str">
        <x:v>Security lead</x:v>
      </x:c>
      <x:c r="K153" s="8" t="str">
        <x:v>WP01</x:v>
      </x:c>
      <x:c r="L153" s="8" t="str">
        <x:v>TC-BR-RULE-08-A TC-BR-RULE-08-B</x:v>
      </x:c>
      <x:c r="M153" s="10" t="str">
        <x:v>Unestimated</x:v>
      </x:c>
      <x:c r="N153" s="10" t="str"/>
    </x:row>
    <x:row r="154" ht="35.25" customHeight="1">
      <x:c r="A154" s="7" t="str">
        <x:v>ENG-NFR-01</x:v>
      </x:c>
      <x:c r="B154" s="7" t="str">
        <x:v>WP11</x:v>
      </x:c>
      <x:c r="C154" s="7" t="str">
        <x:v>NFR-01</x:v>
      </x:c>
      <x:c r="D154" s="7" t="str">
        <x:v>QR-01</x:v>
      </x:c>
      <x:c r="E154" s="7" t="str">
        <x:v>Core availability</x:v>
      </x:c>
      <x:c r="F154" s="7" t="str">
        <x:v>Measure successful authenticated core probes and real requests over a calendar month; publish planned maintenance and dependency failures separately.</x:v>
      </x:c>
      <x:c r="G154" s="7" t="str">
        <x:v>R1</x:v>
      </x:c>
      <x:c r="H154" s="7" t="str">
        <x:v>Must</x:v>
      </x:c>
      <x:c r="I154" s="10" t="str">
        <x:v>Not started</x:v>
      </x:c>
      <x:c r="J154" s="10" t="str">
        <x:v>Operations lead</x:v>
      </x:c>
      <x:c r="K154" s="7" t="str">
        <x:v>WP02 WP05 WP07 WP08 WP09 WP10</x:v>
      </x:c>
      <x:c r="L154" s="7" t="str">
        <x:v>TC-NFR-01-A TC-NFR-01-B</x:v>
      </x:c>
      <x:c r="M154" s="10" t="str">
        <x:v>Unestimated</x:v>
      </x:c>
      <x:c r="N154" s="10" t="str"/>
    </x:row>
    <x:row r="155" ht="35.25" customHeight="1">
      <x:c r="A155" s="8" t="str">
        <x:v>ENG-NFR-02</x:v>
      </x:c>
      <x:c r="B155" s="8" t="str">
        <x:v>WP11</x:v>
      </x:c>
      <x:c r="C155" s="8" t="str">
        <x:v>NFR-02</x:v>
      </x:c>
      <x:c r="D155" s="8" t="str">
        <x:v>QR-02</x:v>
      </x:c>
      <x:c r="E155" s="8" t="str">
        <x:v>Responsive field interface</x:v>
      </x:c>
      <x:c r="F155" s="8" t="str">
        <x:v>Run the BRD reference device and network profile; collect at least 1000 timings per tested path and report median p95 p99 and errors.</x:v>
      </x:c>
      <x:c r="G155" s="8" t="str">
        <x:v>R1</x:v>
      </x:c>
      <x:c r="H155" s="8" t="str">
        <x:v>Must</x:v>
      </x:c>
      <x:c r="I155" s="10" t="str">
        <x:v>Not started</x:v>
      </x:c>
      <x:c r="J155" s="10" t="str">
        <x:v>Operations lead</x:v>
      </x:c>
      <x:c r="K155" s="8" t="str">
        <x:v>WP02 WP05 WP07 WP08 WP09 WP10</x:v>
      </x:c>
      <x:c r="L155" s="8" t="str">
        <x:v>TC-NFR-02-A TC-NFR-02-B</x:v>
      </x:c>
      <x:c r="M155" s="10" t="str">
        <x:v>Unestimated</x:v>
      </x:c>
      <x:c r="N155" s="10" t="str"/>
    </x:row>
    <x:row r="156" ht="35.25" customHeight="1">
      <x:c r="A156" s="7" t="str">
        <x:v>ENG-NFR-03</x:v>
      </x:c>
      <x:c r="B156" s="7" t="str">
        <x:v>WP11</x:v>
      </x:c>
      <x:c r="C156" s="7" t="str">
        <x:v>NFR-03</x:v>
      </x:c>
      <x:c r="D156" s="7" t="str">
        <x:v>QR-03</x:v>
      </x:c>
      <x:c r="E156" s="7" t="str">
        <x:v>Visible AI progress</x:v>
      </x:c>
      <x:c r="F156" s="7" t="str">
        <x:v>Time acknowledgement and progress updates for synchronous and long-running AI calls; measure provider latency separately.</x:v>
      </x:c>
      <x:c r="G156" s="7" t="str">
        <x:v>R1</x:v>
      </x:c>
      <x:c r="H156" s="7" t="str">
        <x:v>Must</x:v>
      </x:c>
      <x:c r="I156" s="10" t="str">
        <x:v>Not started</x:v>
      </x:c>
      <x:c r="J156" s="10" t="str">
        <x:v>Operations lead</x:v>
      </x:c>
      <x:c r="K156" s="7" t="str">
        <x:v>WP02 WP05 WP07 WP08 WP09 WP10</x:v>
      </x:c>
      <x:c r="L156" s="7" t="str">
        <x:v>TC-NFR-03-A TC-NFR-03-B</x:v>
      </x:c>
      <x:c r="M156" s="10" t="str">
        <x:v>Unestimated</x:v>
      </x:c>
      <x:c r="N156" s="10" t="str"/>
    </x:row>
    <x:row r="157" ht="35.25" customHeight="1">
      <x:c r="A157" s="8" t="str">
        <x:v>ENG-NFR-04</x:v>
      </x:c>
      <x:c r="B157" s="8" t="str">
        <x:v>WP11</x:v>
      </x:c>
      <x:c r="C157" s="8" t="str">
        <x:v>NFR-04</x:v>
      </x:c>
      <x:c r="D157" s="8" t="str">
        <x:v>QR-04</x:v>
      </x:c>
      <x:c r="E157" s="8" t="str">
        <x:v>No loss of acknowledged local work</x:v>
      </x:c>
      <x:c r="F157" s="8" t="str">
        <x:v>Inject process kills router restart storage-full and power-loss simulations around acknowledged local commits.</x:v>
      </x:c>
      <x:c r="G157" s="8" t="str">
        <x:v>R1</x:v>
      </x:c>
      <x:c r="H157" s="8" t="str">
        <x:v>Must</x:v>
      </x:c>
      <x:c r="I157" s="10" t="str">
        <x:v>Not started</x:v>
      </x:c>
      <x:c r="J157" s="10" t="str">
        <x:v>Operations lead</x:v>
      </x:c>
      <x:c r="K157" s="8" t="str">
        <x:v>WP02 WP05 WP07 WP08 WP09 WP10</x:v>
      </x:c>
      <x:c r="L157" s="8" t="str">
        <x:v>TC-NFR-04-A TC-NFR-04-B</x:v>
      </x:c>
      <x:c r="M157" s="10" t="str">
        <x:v>Unestimated</x:v>
      </x:c>
      <x:c r="N157" s="10" t="str"/>
    </x:row>
    <x:row r="158" ht="35.25" customHeight="1">
      <x:c r="A158" s="7" t="str">
        <x:v>ENG-NFR-05</x:v>
      </x:c>
      <x:c r="B158" s="7" t="str">
        <x:v>WP11</x:v>
      </x:c>
      <x:c r="C158" s="7" t="str">
        <x:v>NFR-05</x:v>
      </x:c>
      <x:c r="D158" s="7" t="str">
        <x:v>QR-05</x:v>
      </x:c>
      <x:c r="E158" s="7" t="str">
        <x:v>Duplicate-safe execution</x:v>
      </x:c>
      <x:c r="F158" s="7" t="str">
        <x:v>Replay at least 10000 action deliveries with timeouts before and after external acceptance and compare destination counts.</x:v>
      </x:c>
      <x:c r="G158" s="7" t="str">
        <x:v>R1</x:v>
      </x:c>
      <x:c r="H158" s="7" t="str">
        <x:v>Must</x:v>
      </x:c>
      <x:c r="I158" s="10" t="str">
        <x:v>Not started</x:v>
      </x:c>
      <x:c r="J158" s="10" t="str">
        <x:v>Operations lead</x:v>
      </x:c>
      <x:c r="K158" s="7" t="str">
        <x:v>WP02 WP05 WP07 WP08 WP09 WP10</x:v>
      </x:c>
      <x:c r="L158" s="7" t="str">
        <x:v>TC-NFR-05-A TC-NFR-05-B</x:v>
      </x:c>
      <x:c r="M158" s="10" t="str">
        <x:v>Unestimated</x:v>
      </x:c>
      <x:c r="N158" s="10" t="str"/>
    </x:row>
    <x:row r="159" ht="35.25" customHeight="1">
      <x:c r="A159" s="8" t="str">
        <x:v>ENG-NFR-06</x:v>
      </x:c>
      <x:c r="B159" s="8" t="str">
        <x:v>WP11</x:v>
      </x:c>
      <x:c r="C159" s="8" t="str">
        <x:v>NFR-06</x:v>
      </x:c>
      <x:c r="D159" s="8" t="str">
        <x:v>QR-06</x:v>
      </x:c>
      <x:c r="E159" s="8" t="str">
        <x:v>Server recovery</x:v>
      </x:c>
      <x:c r="F159" s="8" t="str">
        <x:v>Restore database and object references from a timed backup checkpoint; measure actual data loss and recovery elapsed time.</x:v>
      </x:c>
      <x:c r="G159" s="8" t="str">
        <x:v>R1</x:v>
      </x:c>
      <x:c r="H159" s="8" t="str">
        <x:v>Must</x:v>
      </x:c>
      <x:c r="I159" s="10" t="str">
        <x:v>Not started</x:v>
      </x:c>
      <x:c r="J159" s="10" t="str">
        <x:v>Operations lead</x:v>
      </x:c>
      <x:c r="K159" s="8" t="str">
        <x:v>WP02 WP05 WP07 WP08 WP09 WP10</x:v>
      </x:c>
      <x:c r="L159" s="8" t="str">
        <x:v>TC-NFR-06-A TC-NFR-06-B</x:v>
      </x:c>
      <x:c r="M159" s="10" t="str">
        <x:v>Unestimated</x:v>
      </x:c>
      <x:c r="N159" s="10" t="str"/>
    </x:row>
    <x:row r="160" ht="35.25" customHeight="1">
      <x:c r="A160" s="7" t="str">
        <x:v>ENG-NFR-07</x:v>
      </x:c>
      <x:c r="B160" s="7" t="str">
        <x:v>WP11</x:v>
      </x:c>
      <x:c r="C160" s="7" t="str">
        <x:v>NFR-07</x:v>
      </x:c>
      <x:c r="D160" s="7" t="str">
        <x:v>QR-07</x:v>
      </x:c>
      <x:c r="E160" s="7" t="str">
        <x:v>Data integrity</x:v>
      </x:c>
      <x:c r="F160" s="7" t="str">
        <x:v>Run referential, version and receipt reconciliation across migration and failure fixtures and count orphaned records.</x:v>
      </x:c>
      <x:c r="G160" s="7" t="str">
        <x:v>R1</x:v>
      </x:c>
      <x:c r="H160" s="7" t="str">
        <x:v>Must</x:v>
      </x:c>
      <x:c r="I160" s="10" t="str">
        <x:v>Not started</x:v>
      </x:c>
      <x:c r="J160" s="10" t="str">
        <x:v>Operations lead</x:v>
      </x:c>
      <x:c r="K160" s="7" t="str">
        <x:v>WP02 WP05 WP07 WP08 WP09 WP10</x:v>
      </x:c>
      <x:c r="L160" s="7" t="str">
        <x:v>TC-NFR-07-A TC-NFR-07-B</x:v>
      </x:c>
      <x:c r="M160" s="10" t="str">
        <x:v>Unestimated</x:v>
      </x:c>
      <x:c r="N160" s="10" t="str"/>
    </x:row>
    <x:row r="161" ht="35.25" customHeight="1">
      <x:c r="A161" s="8" t="str">
        <x:v>ENG-NFR-08</x:v>
      </x:c>
      <x:c r="B161" s="8" t="str">
        <x:v>WP11</x:v>
      </x:c>
      <x:c r="C161" s="8" t="str">
        <x:v>NFR-08</x:v>
      </x:c>
      <x:c r="D161" s="8" t="str">
        <x:v>QR-08</x:v>
      </x:c>
      <x:c r="E161" s="8" t="str">
        <x:v>Security release posture</x:v>
      </x:c>
      <x:c r="F161" s="8" t="str">
        <x:v>Run independent security assessment and verify all applicable critical or high exploitable findings closed or feature removed.</x:v>
      </x:c>
      <x:c r="G161" s="8" t="str">
        <x:v>R1</x:v>
      </x:c>
      <x:c r="H161" s="8" t="str">
        <x:v>Must</x:v>
      </x:c>
      <x:c r="I161" s="10" t="str">
        <x:v>Not started</x:v>
      </x:c>
      <x:c r="J161" s="10" t="str">
        <x:v>Operations lead</x:v>
      </x:c>
      <x:c r="K161" s="8" t="str">
        <x:v>WP02 WP05 WP07 WP08 WP09 WP10</x:v>
      </x:c>
      <x:c r="L161" s="8" t="str">
        <x:v>TC-NFR-08-A TC-NFR-08-B</x:v>
      </x:c>
      <x:c r="M161" s="10" t="str">
        <x:v>Unestimated</x:v>
      </x:c>
      <x:c r="N161" s="10" t="str"/>
    </x:row>
    <x:row r="162" ht="35.25" customHeight="1">
      <x:c r="A162" s="7" t="str">
        <x:v>ENG-NFR-09</x:v>
      </x:c>
      <x:c r="B162" s="7" t="str">
        <x:v>WP11</x:v>
      </x:c>
      <x:c r="C162" s="7" t="str">
        <x:v>NFR-09</x:v>
      </x:c>
      <x:c r="D162" s="7" t="str">
        <x:v>QR-09</x:v>
      </x:c>
      <x:c r="E162" s="7" t="str">
        <x:v>Online revocation</x:v>
      </x:c>
      <x:c r="F162" s="7" t="str">
        <x:v>Suspend sessions and service accounts during active requests and queues; timestamp last allowed action and first denial.</x:v>
      </x:c>
      <x:c r="G162" s="7" t="str">
        <x:v>R1</x:v>
      </x:c>
      <x:c r="H162" s="7" t="str">
        <x:v>Must</x:v>
      </x:c>
      <x:c r="I162" s="10" t="str">
        <x:v>Not started</x:v>
      </x:c>
      <x:c r="J162" s="10" t="str">
        <x:v>Operations lead</x:v>
      </x:c>
      <x:c r="K162" s="7" t="str">
        <x:v>WP02 WP05 WP07 WP08 WP09 WP10</x:v>
      </x:c>
      <x:c r="L162" s="7" t="str">
        <x:v>TC-NFR-09-A TC-NFR-09-B</x:v>
      </x:c>
      <x:c r="M162" s="10" t="str">
        <x:v>Unestimated</x:v>
      </x:c>
      <x:c r="N162" s="10" t="str"/>
    </x:row>
    <x:row r="163" ht="35.25" customHeight="1">
      <x:c r="A163" s="8" t="str">
        <x:v>ENG-NFR-10</x:v>
      </x:c>
      <x:c r="B163" s="8" t="str">
        <x:v>WP11</x:v>
      </x:c>
      <x:c r="C163" s="8" t="str">
        <x:v>NFR-10</x:v>
      </x:c>
      <x:c r="D163" s="8" t="str">
        <x:v>QR-10</x:v>
      </x:c>
      <x:c r="E163" s="8" t="str">
        <x:v>Audit completeness and timing</x:v>
      </x:c>
      <x:c r="F163" s="8" t="str">
        <x:v>Correlate all tested material commands with durable audit records and verify a crash cannot commit only one side.</x:v>
      </x:c>
      <x:c r="G163" s="8" t="str">
        <x:v>R1</x:v>
      </x:c>
      <x:c r="H163" s="8" t="str">
        <x:v>Must</x:v>
      </x:c>
      <x:c r="I163" s="10" t="str">
        <x:v>Not started</x:v>
      </x:c>
      <x:c r="J163" s="10" t="str">
        <x:v>Operations lead</x:v>
      </x:c>
      <x:c r="K163" s="8" t="str">
        <x:v>WP02 WP05 WP07 WP08 WP09 WP10</x:v>
      </x:c>
      <x:c r="L163" s="8" t="str">
        <x:v>TC-NFR-10-A TC-NFR-10-B</x:v>
      </x:c>
      <x:c r="M163" s="10" t="str">
        <x:v>Unestimated</x:v>
      </x:c>
      <x:c r="N163" s="10" t="str"/>
    </x:row>
    <x:row r="164" ht="35.25" customHeight="1">
      <x:c r="A164" s="7" t="str">
        <x:v>ENG-NFR-11</x:v>
      </x:c>
      <x:c r="B164" s="7" t="str">
        <x:v>WP11</x:v>
      </x:c>
      <x:c r="C164" s="7" t="str">
        <x:v>NFR-11</x:v>
      </x:c>
      <x:c r="D164" s="7" t="str">
        <x:v>QR-11</x:v>
      </x:c>
      <x:c r="E164" s="7" t="str">
        <x:v>Offline capacity and controlled storage</x:v>
      </x:c>
      <x:c r="F164" s="7" t="str">
        <x:v>Store 200 unsynced structured encounters and 100 media items up to 4 MB each within the 500 MB reference allowance.</x:v>
      </x:c>
      <x:c r="G164" s="7" t="str">
        <x:v>R1</x:v>
      </x:c>
      <x:c r="H164" s="7" t="str">
        <x:v>Must</x:v>
      </x:c>
      <x:c r="I164" s="10" t="str">
        <x:v>Not started</x:v>
      </x:c>
      <x:c r="J164" s="10" t="str">
        <x:v>Operations lead</x:v>
      </x:c>
      <x:c r="K164" s="7" t="str">
        <x:v>WP02 WP05 WP07 WP08 WP09 WP10</x:v>
      </x:c>
      <x:c r="L164" s="7" t="str">
        <x:v>TC-NFR-11-A TC-NFR-11-B</x:v>
      </x:c>
      <x:c r="M164" s="10" t="str">
        <x:v>Unestimated</x:v>
      </x:c>
      <x:c r="N164" s="10" t="str"/>
    </x:row>
    <x:row r="165" ht="35.25" customHeight="1">
      <x:c r="A165" s="8" t="str">
        <x:v>ENG-NFR-12</x:v>
      </x:c>
      <x:c r="B165" s="8" t="str">
        <x:v>WP11</x:v>
      </x:c>
      <x:c r="C165" s="8" t="str">
        <x:v>NFR-12</x:v>
      </x:c>
      <x:c r="D165" s="8" t="str">
        <x:v>QR-12</x:v>
      </x:c>
      <x:c r="E165" s="8" t="str">
        <x:v>Synchronisation recovery</x:v>
      </x:c>
      <x:c r="F165" s="8" t="str">
        <x:v>Sync a 200-record structured queue under the BRD reference network and time the 95th percentile eligible arrival.</x:v>
      </x:c>
      <x:c r="G165" s="8" t="str">
        <x:v>R1</x:v>
      </x:c>
      <x:c r="H165" s="8" t="str">
        <x:v>Must</x:v>
      </x:c>
      <x:c r="I165" s="10" t="str">
        <x:v>Not started</x:v>
      </x:c>
      <x:c r="J165" s="10" t="str">
        <x:v>Operations lead</x:v>
      </x:c>
      <x:c r="K165" s="8" t="str">
        <x:v>WP02 WP05 WP07 WP08 WP09 WP10</x:v>
      </x:c>
      <x:c r="L165" s="8" t="str">
        <x:v>TC-NFR-12-A TC-NFR-12-B</x:v>
      </x:c>
      <x:c r="M165" s="10" t="str">
        <x:v>Unestimated</x:v>
      </x:c>
      <x:c r="N165" s="10" t="str"/>
    </x:row>
    <x:row r="166" ht="35.25" customHeight="1">
      <x:c r="A166" s="7" t="str">
        <x:v>ENG-NFR-13</x:v>
      </x:c>
      <x:c r="B166" s="7" t="str">
        <x:v>WP11</x:v>
      </x:c>
      <x:c r="C166" s="7" t="str">
        <x:v>NFR-13</x:v>
      </x:c>
      <x:c r="D166" s="7" t="str">
        <x:v>QR-13</x:v>
      </x:c>
      <x:c r="E166" s="7" t="str">
        <x:v>Accessibility</x:v>
      </x:c>
      <x:c r="F166" s="7" t="str">
        <x:v>Combine automated accessibility scans with keyboard screen-reader scaling and non-colour task testing.</x:v>
      </x:c>
      <x:c r="G166" s="7" t="str">
        <x:v>R1</x:v>
      </x:c>
      <x:c r="H166" s="7" t="str">
        <x:v>Must</x:v>
      </x:c>
      <x:c r="I166" s="10" t="str">
        <x:v>Not started</x:v>
      </x:c>
      <x:c r="J166" s="10" t="str">
        <x:v>Operations lead</x:v>
      </x:c>
      <x:c r="K166" s="7" t="str">
        <x:v>WP02 WP05 WP07 WP08 WP09 WP10</x:v>
      </x:c>
      <x:c r="L166" s="7" t="str">
        <x:v>TC-NFR-13-A TC-NFR-13-B</x:v>
      </x:c>
      <x:c r="M166" s="10" t="str">
        <x:v>Unestimated</x:v>
      </x:c>
      <x:c r="N166" s="10" t="str"/>
    </x:row>
    <x:row r="167" ht="35.25" customHeight="1">
      <x:c r="A167" s="8" t="str">
        <x:v>ENG-NFR-14</x:v>
      </x:c>
      <x:c r="B167" s="8" t="str">
        <x:v>WP11</x:v>
      </x:c>
      <x:c r="C167" s="8" t="str">
        <x:v>NFR-14</x:v>
      </x:c>
      <x:c r="D167" s="8" t="str">
        <x:v>QR-14</x:v>
      </x:c>
      <x:c r="E167" s="8" t="str">
        <x:v>Usability and training burden</x:v>
      </x:c>
      <x:c r="F167" s="8" t="str">
        <x:v>Evaluate at least 20 representative frontline workers and 5 supervisors on unassisted core tasks after standard training.</x:v>
      </x:c>
      <x:c r="G167" s="8" t="str">
        <x:v>R1</x:v>
      </x:c>
      <x:c r="H167" s="8" t="str">
        <x:v>Must</x:v>
      </x:c>
      <x:c r="I167" s="10" t="str">
        <x:v>Not started</x:v>
      </x:c>
      <x:c r="J167" s="10" t="str">
        <x:v>Operations lead</x:v>
      </x:c>
      <x:c r="K167" s="8" t="str">
        <x:v>WP02 WP05 WP07 WP08 WP09 WP10</x:v>
      </x:c>
      <x:c r="L167" s="8" t="str">
        <x:v>TC-NFR-14-A TC-NFR-14-B</x:v>
      </x:c>
      <x:c r="M167" s="10" t="str">
        <x:v>Unestimated</x:v>
      </x:c>
      <x:c r="N167" s="10" t="str"/>
    </x:row>
    <x:row r="168" ht="35.25" customHeight="1">
      <x:c r="A168" s="7" t="str">
        <x:v>ENG-NFR-15</x:v>
      </x:c>
      <x:c r="B168" s="7" t="str">
        <x:v>WP11</x:v>
      </x:c>
      <x:c r="C168" s="7" t="str">
        <x:v>NFR-15</x:v>
      </x:c>
      <x:c r="D168" s="7" t="str">
        <x:v>QR-15</x:v>
      </x:c>
      <x:c r="E168" s="7" t="str">
        <x:v>Language quality</x:v>
      </x:c>
      <x:c r="F168" s="7" t="str">
        <x:v>Use reviewed language fixtures for clinical negation units dates names and mixed-language speech.</x:v>
      </x:c>
      <x:c r="G168" s="7" t="str">
        <x:v>R1</x:v>
      </x:c>
      <x:c r="H168" s="7" t="str">
        <x:v>Must</x:v>
      </x:c>
      <x:c r="I168" s="10" t="str">
        <x:v>Not started</x:v>
      </x:c>
      <x:c r="J168" s="10" t="str">
        <x:v>Operations lead</x:v>
      </x:c>
      <x:c r="K168" s="7" t="str">
        <x:v>WP02 WP05 WP07 WP08 WP09 WP10</x:v>
      </x:c>
      <x:c r="L168" s="7" t="str">
        <x:v>TC-NFR-15-A TC-NFR-15-B</x:v>
      </x:c>
      <x:c r="M168" s="10" t="str">
        <x:v>Unestimated</x:v>
      </x:c>
      <x:c r="N168" s="10" t="str"/>
    </x:row>
    <x:row r="169" ht="35.25" customHeight="1">
      <x:c r="A169" s="8" t="str">
        <x:v>ENG-NFR-16</x:v>
      </x:c>
      <x:c r="B169" s="8" t="str">
        <x:v>WP11</x:v>
      </x:c>
      <x:c r="C169" s="8" t="str">
        <x:v>NFR-16</x:v>
      </x:c>
      <x:c r="D169" s="8" t="str">
        <x:v>QR-16</x:v>
      </x:c>
      <x:c r="E169" s="8" t="str">
        <x:v>AI extraction quality</x:v>
      </x:c>
      <x:c r="F169" s="8" t="str">
        <x:v>Measure precision and recall on an independently annotated representative administrative extraction set; report missingness and corrections.</x:v>
      </x:c>
      <x:c r="G169" s="8" t="str">
        <x:v>R1</x:v>
      </x:c>
      <x:c r="H169" s="8" t="str">
        <x:v>Must</x:v>
      </x:c>
      <x:c r="I169" s="10" t="str">
        <x:v>Not started</x:v>
      </x:c>
      <x:c r="J169" s="10" t="str">
        <x:v>Operations lead</x:v>
      </x:c>
      <x:c r="K169" s="8" t="str">
        <x:v>WP02 WP05 WP07 WP08 WP09 WP10</x:v>
      </x:c>
      <x:c r="L169" s="8" t="str">
        <x:v>TC-NFR-16-A TC-NFR-16-B</x:v>
      </x:c>
      <x:c r="M169" s="10" t="str">
        <x:v>Unestimated</x:v>
      </x:c>
      <x:c r="N169" s="10" t="str"/>
    </x:row>
    <x:row r="170" ht="35.25" customHeight="1">
      <x:c r="A170" s="7" t="str">
        <x:v>ENG-NFR-17</x:v>
      </x:c>
      <x:c r="B170" s="7" t="str">
        <x:v>WP11</x:v>
      </x:c>
      <x:c r="C170" s="7" t="str">
        <x:v>NFR-17</x:v>
      </x:c>
      <x:c r="D170" s="7" t="str">
        <x:v>QR-17</x:v>
      </x:c>
      <x:c r="E170" s="7" t="str">
        <x:v>Clinical and agent safety evaluation</x:v>
      </x:c>
      <x:c r="F170" s="7" t="str">
        <x:v>Execute approved wrong-patient, role-boundary, emergency, unsupported-use and prompt-injection scenarios.</x:v>
      </x:c>
      <x:c r="G170" s="7" t="str">
        <x:v>R1</x:v>
      </x:c>
      <x:c r="H170" s="7" t="str">
        <x:v>Must</x:v>
      </x:c>
      <x:c r="I170" s="10" t="str">
        <x:v>Not started</x:v>
      </x:c>
      <x:c r="J170" s="10" t="str">
        <x:v>Operations lead</x:v>
      </x:c>
      <x:c r="K170" s="7" t="str">
        <x:v>WP02 WP05 WP07 WP08 WP09 WP10</x:v>
      </x:c>
      <x:c r="L170" s="7" t="str">
        <x:v>TC-NFR-17-A TC-NFR-17-B</x:v>
      </x:c>
      <x:c r="M170" s="10" t="str">
        <x:v>Unestimated</x:v>
      </x:c>
      <x:c r="N170" s="10" t="str"/>
    </x:row>
    <x:row r="171" ht="35.25" customHeight="1">
      <x:c r="A171" s="8" t="str">
        <x:v>ENG-NFR-18</x:v>
      </x:c>
      <x:c r="B171" s="8" t="str">
        <x:v>WP11</x:v>
      </x:c>
      <x:c r="C171" s="8" t="str">
        <x:v>NFR-18</x:v>
      </x:c>
      <x:c r="D171" s="8" t="str">
        <x:v>QR-18</x:v>
      </x:c>
      <x:c r="E171" s="8" t="str">
        <x:v>Operational observability</x:v>
      </x:c>
      <x:c r="F171" s="8" t="str">
        <x:v>Seed provider failure queue stall and permission error events and time delivery to the correct accountable alert queue.</x:v>
      </x:c>
      <x:c r="G171" s="8" t="str">
        <x:v>R1</x:v>
      </x:c>
      <x:c r="H171" s="8" t="str">
        <x:v>Must</x:v>
      </x:c>
      <x:c r="I171" s="10" t="str">
        <x:v>Not started</x:v>
      </x:c>
      <x:c r="J171" s="10" t="str">
        <x:v>Operations lead</x:v>
      </x:c>
      <x:c r="K171" s="8" t="str">
        <x:v>WP02 WP05 WP07 WP08 WP09 WP10</x:v>
      </x:c>
      <x:c r="L171" s="8" t="str">
        <x:v>TC-NFR-18-A TC-NFR-18-B</x:v>
      </x:c>
      <x:c r="M171" s="10" t="str">
        <x:v>Unestimated</x:v>
      </x:c>
      <x:c r="N171" s="10" t="str"/>
    </x:row>
    <x:row r="172" ht="35.25" customHeight="1">
      <x:c r="A172" s="7" t="str">
        <x:v>ENG-NFR-19</x:v>
      </x:c>
      <x:c r="B172" s="7" t="str">
        <x:v>WP11</x:v>
      </x:c>
      <x:c r="C172" s="7" t="str">
        <x:v>NFR-19</x:v>
      </x:c>
      <x:c r="D172" s="7" t="str">
        <x:v>QR-19</x:v>
      </x:c>
      <x:c r="E172" s="7" t="str">
        <x:v>Maintainable configuration</x:v>
      </x:c>
      <x:c r="F172" s="7" t="str">
        <x:v>Publish and roll back a real versioned configuration change through the release workflow.</x:v>
      </x:c>
      <x:c r="G172" s="7" t="str">
        <x:v>R1</x:v>
      </x:c>
      <x:c r="H172" s="7" t="str">
        <x:v>Must</x:v>
      </x:c>
      <x:c r="I172" s="10" t="str">
        <x:v>Not started</x:v>
      </x:c>
      <x:c r="J172" s="10" t="str">
        <x:v>Operations lead</x:v>
      </x:c>
      <x:c r="K172" s="7" t="str">
        <x:v>WP02 WP05 WP07 WP08 WP09 WP10</x:v>
      </x:c>
      <x:c r="L172" s="7" t="str">
        <x:v>TC-NFR-19-A TC-NFR-19-B</x:v>
      </x:c>
      <x:c r="M172" s="10" t="str">
        <x:v>Unestimated</x:v>
      </x:c>
      <x:c r="N172" s="10" t="str"/>
    </x:row>
    <x:row r="173" ht="35.25" customHeight="1">
      <x:c r="A173" s="8" t="str">
        <x:v>ENG-NFR-20</x:v>
      </x:c>
      <x:c r="B173" s="8" t="str">
        <x:v>WP11</x:v>
      </x:c>
      <x:c r="C173" s="8" t="str">
        <x:v>NFR-20</x:v>
      </x:c>
      <x:c r="D173" s="8" t="str">
        <x:v>QR-20</x:v>
      </x:c>
      <x:c r="E173" s="8" t="str">
        <x:v>Integration conformance</x:v>
      </x:c>
      <x:c r="F173" s="8" t="str">
        <x:v>Run owner-agreed positive and negative connector contracts with pinned schemas and exact external environment evidence.</x:v>
      </x:c>
      <x:c r="G173" s="8" t="str">
        <x:v>R1</x:v>
      </x:c>
      <x:c r="H173" s="8" t="str">
        <x:v>Must</x:v>
      </x:c>
      <x:c r="I173" s="10" t="str">
        <x:v>Not started</x:v>
      </x:c>
      <x:c r="J173" s="10" t="str">
        <x:v>Operations lead</x:v>
      </x:c>
      <x:c r="K173" s="8" t="str">
        <x:v>WP02 WP05 WP07 WP08 WP09 WP10</x:v>
      </x:c>
      <x:c r="L173" s="8" t="str">
        <x:v>TC-NFR-20-A TC-NFR-20-B</x:v>
      </x:c>
      <x:c r="M173" s="10" t="str">
        <x:v>Unestimated</x:v>
      </x:c>
      <x:c r="N173" s="10" t="str"/>
    </x:row>
    <x:row r="174" ht="35.25" customHeight="1">
      <x:c r="A174" s="7" t="str">
        <x:v>ENG-NFR-21</x:v>
      </x:c>
      <x:c r="B174" s="7" t="str">
        <x:v>WP11</x:v>
      </x:c>
      <x:c r="C174" s="7" t="str">
        <x:v>NFR-21</x:v>
      </x:c>
      <x:c r="D174" s="7" t="str">
        <x:v>QR-21</x:v>
      </x:c>
      <x:c r="E174" s="7" t="str">
        <x:v>Cost transparency</x:v>
      </x:c>
      <x:c r="F174" s="7" t="str">
        <x:v>Reconcile usage events against provider invoices or test billing records by tenant capability and task.</x:v>
      </x:c>
      <x:c r="G174" s="7" t="str">
        <x:v>R1</x:v>
      </x:c>
      <x:c r="H174" s="7" t="str">
        <x:v>Must</x:v>
      </x:c>
      <x:c r="I174" s="10" t="str">
        <x:v>Not started</x:v>
      </x:c>
      <x:c r="J174" s="10" t="str">
        <x:v>Operations lead</x:v>
      </x:c>
      <x:c r="K174" s="7" t="str">
        <x:v>WP02 WP05 WP07 WP08 WP09 WP10</x:v>
      </x:c>
      <x:c r="L174" s="7" t="str">
        <x:v>TC-NFR-21-A TC-NFR-21-B</x:v>
      </x:c>
      <x:c r="M174" s="10" t="str">
        <x:v>Unestimated</x:v>
      </x:c>
      <x:c r="N174" s="10" t="str"/>
    </x:row>
    <x:row r="175" ht="35.25" customHeight="1">
      <x:c r="A175" s="8" t="str">
        <x:v>ENG-NFR-22</x:v>
      </x:c>
      <x:c r="B175" s="8" t="str">
        <x:v>WP11</x:v>
      </x:c>
      <x:c r="C175" s="8" t="str">
        <x:v>NFR-22</x:v>
      </x:c>
      <x:c r="D175" s="8" t="str">
        <x:v>QR-22</x:v>
      </x:c>
      <x:c r="E175" s="8" t="str">
        <x:v>Data portability and export integrity</x:v>
      </x:c>
      <x:c r="F175" s="8" t="str">
        <x:v>Export and reimport 1000 synthetic persons with relationships units provenance and revision history; reconcile counts and references.</x:v>
      </x:c>
      <x:c r="G175" s="8" t="str">
        <x:v>R1</x:v>
      </x:c>
      <x:c r="H175" s="8" t="str">
        <x:v>Must</x:v>
      </x:c>
      <x:c r="I175" s="10" t="str">
        <x:v>Not started</x:v>
      </x:c>
      <x:c r="J175" s="10" t="str">
        <x:v>Operations lead</x:v>
      </x:c>
      <x:c r="K175" s="8" t="str">
        <x:v>WP02 WP05 WP07 WP08 WP09 WP10</x:v>
      </x:c>
      <x:c r="L175" s="8" t="str">
        <x:v>TC-NFR-22-A TC-NFR-22-B</x:v>
      </x:c>
      <x:c r="M175" s="10" t="str">
        <x:v>Unestimated</x:v>
      </x:c>
      <x:c r="N175" s="10" t="str"/>
    </x:row>
    <x:row r="176" ht="35.25" customHeight="1">
      <x:c r="A176" s="7" t="str">
        <x:v>ENG-NFR-23</x:v>
      </x:c>
      <x:c r="B176" s="7" t="str">
        <x:v>WP11</x:v>
      </x:c>
      <x:c r="C176" s="7" t="str">
        <x:v>NFR-23</x:v>
      </x:c>
      <x:c r="D176" s="7" t="str">
        <x:v>QR-23</x:v>
      </x:c>
      <x:c r="E176" s="7" t="str">
        <x:v>Disaster and downtime readiness</x:v>
      </x:c>
      <x:c r="F176" s="7" t="str">
        <x:v>Run a tabletop plus technical outage exercise including lost device failed provider and clinical downtime path.</x:v>
      </x:c>
      <x:c r="G176" s="7" t="str">
        <x:v>R1</x:v>
      </x:c>
      <x:c r="H176" s="7" t="str">
        <x:v>Must</x:v>
      </x:c>
      <x:c r="I176" s="10" t="str">
        <x:v>Not started</x:v>
      </x:c>
      <x:c r="J176" s="10" t="str">
        <x:v>Operations lead</x:v>
      </x:c>
      <x:c r="K176" s="7" t="str">
        <x:v>WP02 WP05 WP07 WP08 WP09 WP10</x:v>
      </x:c>
      <x:c r="L176" s="7" t="str">
        <x:v>TC-NFR-23-A TC-NFR-23-B</x:v>
      </x:c>
      <x:c r="M176" s="10" t="str">
        <x:v>Unestimated</x:v>
      </x:c>
      <x:c r="N176" s="10" t="str"/>
    </x:row>
    <x:row r="177" ht="35.25" customHeight="1">
      <x:c r="A177" s="8" t="str">
        <x:v>ENG-NFR-24</x:v>
      </x:c>
      <x:c r="B177" s="8" t="str">
        <x:v>WP11</x:v>
      </x:c>
      <x:c r="C177" s="8" t="str">
        <x:v>NFR-24</x:v>
      </x:c>
      <x:c r="D177" s="8" t="str">
        <x:v>QR-24</x:v>
      </x:c>
      <x:c r="E177" s="8" t="str">
        <x:v>Scale readiness</x:v>
      </x:c>
      <x:c r="F177" s="8" t="str">
        <x:v>Run a separately provisioned R2 load test for proposed 10000 workers and 5 million persons; report infrastructure and costs.</x:v>
      </x:c>
      <x:c r="G177" s="8" t="str">
        <x:v>R2</x:v>
      </x:c>
      <x:c r="H177" s="8" t="str">
        <x:v>Should</x:v>
      </x:c>
      <x:c r="I177" s="10" t="str">
        <x:v>Not started</x:v>
      </x:c>
      <x:c r="J177" s="10" t="str">
        <x:v>Operations lead</x:v>
      </x:c>
      <x:c r="K177" s="8" t="str">
        <x:v>WP02 WP05 WP07 WP08 WP09 WP10</x:v>
      </x:c>
      <x:c r="L177" s="8" t="str">
        <x:v>TC-NFR-24-A TC-NFR-24-B</x:v>
      </x:c>
      <x:c r="M177" s="10" t="str">
        <x:v>Unestimated</x:v>
      </x:c>
      <x:c r="N177" s="10" t="str"/>
    </x:row>
    <x:row r="178" ht="35.25" customHeight="1">
      <x:c r="A178" s="7" t="str">
        <x:v>ENG-NFR-25</x:v>
      </x:c>
      <x:c r="B178" s="7" t="str">
        <x:v>WP11</x:v>
      </x:c>
      <x:c r="C178" s="7" t="str">
        <x:v>NFR-25</x:v>
      </x:c>
      <x:c r="D178" s="7" t="str">
        <x:v>QR-25</x:v>
      </x:c>
      <x:c r="E178" s="7" t="str">
        <x:v>Clinical exchange validation</x:v>
      </x:c>
      <x:c r="F178" s="7" t="str">
        <x:v>Validate every supported outbound artefact against the pinned profile terminology and business-rule suite.</x:v>
      </x:c>
      <x:c r="G178" s="7" t="str">
        <x:v>R1</x:v>
      </x:c>
      <x:c r="H178" s="7" t="str">
        <x:v>Must</x:v>
      </x:c>
      <x:c r="I178" s="10" t="str">
        <x:v>Not started</x:v>
      </x:c>
      <x:c r="J178" s="10" t="str">
        <x:v>Operations lead</x:v>
      </x:c>
      <x:c r="K178" s="7" t="str">
        <x:v>WP02 WP05 WP07 WP08 WP09 WP10</x:v>
      </x:c>
      <x:c r="L178" s="7" t="str">
        <x:v>TC-NFR-25-A TC-NFR-25-B</x:v>
      </x:c>
      <x:c r="M178" s="10" t="str">
        <x:v>Unestimated</x:v>
      </x:c>
      <x:c r="N178" s="10" t="str"/>
    </x:row>
    <x:row r="179" ht="35.25" customHeight="1">
      <x:c r="A179" s="8" t="str">
        <x:v>ENG-NFR-26</x:v>
      </x:c>
      <x:c r="B179" s="8" t="str">
        <x:v>WP11</x:v>
      </x:c>
      <x:c r="C179" s="8" t="str">
        <x:v>NFR-26</x:v>
      </x:c>
      <x:c r="D179" s="8" t="str">
        <x:v>QR-26</x:v>
      </x:c>
      <x:c r="E179" s="8" t="str">
        <x:v>Consent and exchange traceability</x:v>
      </x:c>
      <x:c r="F179" s="8" t="str">
        <x:v>Reconstruct each release-test exchange from purpose and authority through request validation receipt and final status.</x:v>
      </x:c>
      <x:c r="G179" s="8" t="str">
        <x:v>R1</x:v>
      </x:c>
      <x:c r="H179" s="8" t="str">
        <x:v>Must</x:v>
      </x:c>
      <x:c r="I179" s="10" t="str">
        <x:v>Not started</x:v>
      </x:c>
      <x:c r="J179" s="10" t="str">
        <x:v>Operations lead</x:v>
      </x:c>
      <x:c r="K179" s="8" t="str">
        <x:v>WP02 WP05 WP07 WP08 WP09 WP10</x:v>
      </x:c>
      <x:c r="L179" s="8" t="str">
        <x:v>TC-NFR-26-A TC-NFR-26-B</x:v>
      </x:c>
      <x:c r="M179" s="10" t="str">
        <x:v>Unestimated</x:v>
      </x:c>
      <x:c r="N179" s="10" t="str"/>
    </x:row>
    <x:row r="180" ht="35.25" customHeight="1">
      <x:c r="A180" s="7" t="str">
        <x:v>ENG-NFR-27</x:v>
      </x:c>
      <x:c r="B180" s="7" t="str">
        <x:v>WP11</x:v>
      </x:c>
      <x:c r="C180" s="7" t="str">
        <x:v>NFR-27</x:v>
      </x:c>
      <x:c r="D180" s="7" t="str">
        <x:v>QR-27</x:v>
      </x:c>
      <x:c r="E180" s="7" t="str">
        <x:v>Connector upgrade compatibility</x:v>
      </x:c>
      <x:c r="F180" s="7" t="str">
        <x:v>Upgrade adapter and FHIR packages with old queued actions historical results and amendment fixtures present.</x:v>
      </x:c>
      <x:c r="G180" s="7" t="str">
        <x:v>R1</x:v>
      </x:c>
      <x:c r="H180" s="7" t="str">
        <x:v>Must</x:v>
      </x:c>
      <x:c r="I180" s="10" t="str">
        <x:v>Not started</x:v>
      </x:c>
      <x:c r="J180" s="10" t="str">
        <x:v>Operations lead</x:v>
      </x:c>
      <x:c r="K180" s="7" t="str">
        <x:v>WP02 WP05 WP07 WP08 WP09 WP10</x:v>
      </x:c>
      <x:c r="L180" s="7" t="str">
        <x:v>TC-NFR-27-A TC-NFR-27-B</x:v>
      </x:c>
      <x:c r="M180" s="10" t="str">
        <x:v>Unestimated</x:v>
      </x:c>
      <x:c r="N180" s="10" t="str"/>
    </x:row>
    <x:row r="181" ht="35.25" customHeight="1">
      <x:c r="A181" s="8" t="str">
        <x:v>ENG-NFR-28</x:v>
      </x:c>
      <x:c r="B181" s="8" t="str">
        <x:v>WP11</x:v>
      </x:c>
      <x:c r="C181" s="8" t="str">
        <x:v>NFR-28</x:v>
      </x:c>
      <x:c r="D181" s="8" t="str">
        <x:v>QR-28</x:v>
      </x:c>
      <x:c r="E181" s="8" t="str">
        <x:v>Interoperability performance</x:v>
      </x:c>
      <x:c r="F181" s="8" t="str">
        <x:v>Measure local canonical transformation and validation p95 under the R1 workload, excluding network and destination processing.</x:v>
      </x:c>
      <x:c r="G181" s="8" t="str">
        <x:v>R1</x:v>
      </x:c>
      <x:c r="H181" s="8" t="str">
        <x:v>Should</x:v>
      </x:c>
      <x:c r="I181" s="10" t="str">
        <x:v>Not started</x:v>
      </x:c>
      <x:c r="J181" s="10" t="str">
        <x:v>Operations lead</x:v>
      </x:c>
      <x:c r="K181" s="8" t="str">
        <x:v>WP02 WP05 WP07 WP08 WP09 WP10</x:v>
      </x:c>
      <x:c r="L181" s="8" t="str">
        <x:v>TC-NFR-28-A TC-NFR-28-B</x:v>
      </x:c>
      <x:c r="M181" s="10" t="str">
        <x:v>Unestimated</x:v>
      </x:c>
      <x:c r="N181" s="10" t="str"/>
    </x:row>
  </x:sheetData>
  <x:mergeCells>
    <x:mergeCell ref="A1:F1"/>
    <x:mergeCell ref="A2:F2"/>
    <x:mergeCell ref="A3:F3"/>
  </x:mergeCells>
  <x:dataValidations count="1">
    <x:dataValidation type="list" sqref="I6:I181">
      <x:formula1>"Not started,In progress,In review,Blocked,Done"</x:formula1>
    </x:dataValidation>
  </x:dataValidations>
  <x:pageMargins left="0.7" right="0.7" top="0.75" bottom="0.75" header="0.3" footer="0.3"/>
  <x:tableParts count="1">
    <x:tablePart xmlns:r="http://schemas.openxmlformats.org/officeDocument/2006/relationships" r:id="R0b31564f5ca64dc1"/>
  </x:tableParts>
</x:worksheet>
</file>

<file path=xl/worksheets/sheet5.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10" hidden="0" customWidth="1"/>
    <x:col min="2" max="2" width="28.889999389648438" hidden="0" customWidth="1"/>
    <x:col min="3" max="3" width="14.4399995803833" hidden="0" customWidth="1"/>
    <x:col min="4" max="4" width="25.559999465942383" hidden="0" customWidth="1"/>
    <x:col min="5" max="5" width="27.780000686645508" hidden="0" customWidth="1"/>
    <x:col min="6" max="6" width="55.560001373291016" hidden="0" customWidth="1"/>
  </x:cols>
  <x:sheetData>
    <x:row r="1" ht="28.5" customHeight="1">
      <x:c r="A1" s="4" t="str">
        <x:v>Work Packages</x:v>
      </x:c>
      <x:c r="B1" s="4"/>
      <x:c r="C1" s="4"/>
      <x:c r="D1" s="4"/>
      <x:c r="E1" s="4"/>
      <x:c r="F1" s="4"/>
    </x:row>
    <x:row r="2" ht="21" customHeight="1">
      <x:c r="A2" s="3" t="str">
        <x:v>Health AI Orchestration · v1.0 · source BRD v1.1 · proposed baseline · 26 September 2026</x:v>
      </x:c>
      <x:c r="B2" s="3"/>
      <x:c r="C2" s="3"/>
      <x:c r="D2" s="3"/>
      <x:c r="E2" s="3"/>
      <x:c r="F2" s="3"/>
    </x:row>
    <x:row r="3" ht="21" customHeight="1">
      <x:c r="A3" s="3" t="str">
        <x:v>Controlled design catalogue. Update through the versioned specification review process.</x:v>
      </x:c>
      <x:c r="B3" s="3"/>
      <x:c r="C3" s="3"/>
      <x:c r="D3" s="3"/>
      <x:c r="E3" s="3"/>
      <x:c r="F3" s="3"/>
    </x:row>
    <x:row r="4">
      <x:c r="A4" s="3"/>
      <x:c r="B4" s="3"/>
      <x:c r="C4" s="3"/>
      <x:c r="D4" s="3"/>
      <x:c r="E4" s="3"/>
      <x:c r="F4" s="3"/>
    </x:row>
    <x:row r="5" ht="31.5" customHeight="1">
      <x:c r="A5" s="6" t="str">
        <x:v>ID</x:v>
      </x:c>
      <x:c r="B5" s="6" t="str">
        <x:v>Work package</x:v>
      </x:c>
      <x:c r="C5" s="6" t="str">
        <x:v>Release</x:v>
      </x:c>
      <x:c r="D5" s="6" t="str">
        <x:v>Owner role</x:v>
      </x:c>
      <x:c r="E5" s="6" t="str">
        <x:v>Dependencies</x:v>
      </x:c>
      <x:c r="F5" s="6" t="str">
        <x:v>Outcome</x:v>
      </x:c>
    </x:row>
    <x:row r="6" ht="30" customHeight="1">
      <x:c r="A6" s="7" t="str">
        <x:v>WP01</x:v>
      </x:c>
      <x:c r="B6" s="7" t="str">
        <x:v>Identity and assignments</x:v>
      </x:c>
      <x:c r="C6" s="7" t="str">
        <x:v>R1</x:v>
      </x:c>
      <x:c r="D6" s="7" t="str">
        <x:v>Platform lead</x:v>
      </x:c>
      <x:c r="E6" s="7" t="str">
        <x:v>None</x:v>
      </x:c>
      <x:c r="F6" s="7" t="str">
        <x:v>Verified workforce login, role context, caseload and identity correction</x:v>
      </x:c>
    </x:row>
    <x:row r="7" ht="35.25" customHeight="1">
      <x:c r="A7" s="8" t="str">
        <x:v>WP02</x:v>
      </x:c>
      <x:c r="B7" s="8" t="str">
        <x:v>Policy audit and invariants</x:v>
      </x:c>
      <x:c r="C7" s="8" t="str">
        <x:v>R1</x:v>
      </x:c>
      <x:c r="D7" s="8" t="str">
        <x:v>Security lead</x:v>
      </x:c>
      <x:c r="E7" s="8" t="str">
        <x:v>WP01</x:v>
      </x:c>
      <x:c r="F7" s="8" t="str">
        <x:v>Purpose-bound policy, audit atomicity, approval binding and environment isolation</x:v>
      </x:c>
    </x:row>
    <x:row r="8" ht="35.25" customHeight="1">
      <x:c r="A8" s="7" t="str">
        <x:v>WP03</x:v>
      </x:c>
      <x:c r="B8" s="7" t="str">
        <x:v>Encounter and shared data</x:v>
      </x:c>
      <x:c r="C8" s="7" t="str">
        <x:v>R1</x:v>
      </x:c>
      <x:c r="D8" s="7" t="str">
        <x:v>Workflow lead</x:v>
      </x:c>
      <x:c r="E8" s="7" t="str">
        <x:v>WP01 WP02</x:v>
      </x:c>
      <x:c r="F8" s="7" t="str">
        <x:v>Local person and encounter model, draft capture, typed observations and revisions</x:v>
      </x:c>
    </x:row>
    <x:row r="9" ht="30" customHeight="1">
      <x:c r="A9" s="8" t="str">
        <x:v>WP04</x:v>
      </x:c>
      <x:c r="B9" s="8" t="str">
        <x:v>Programme configuration</x:v>
      </x:c>
      <x:c r="C9" s="8" t="str">
        <x:v>R1</x:v>
      </x:c>
      <x:c r="D9" s="8" t="str">
        <x:v>Programme lead</x:v>
      </x:c>
      <x:c r="E9" s="8" t="str">
        <x:v>WP03</x:v>
      </x:c>
      <x:c r="F9" s="8" t="str">
        <x:v>Versioned questions, schedules, approved clinical rule interface and mappings</x:v>
      </x:c>
    </x:row>
    <x:row r="10" ht="30" customHeight="1">
      <x:c r="A10" s="7" t="str">
        <x:v>WP05</x:v>
      </x:c>
      <x:c r="B10" s="7" t="str">
        <x:v>Agent and AI broker</x:v>
      </x:c>
      <x:c r="C10" s="7" t="str">
        <x:v>R1</x:v>
      </x:c>
      <x:c r="D10" s="7" t="str">
        <x:v>AI engineering lead</x:v>
      </x:c>
      <x:c r="E10" s="7" t="str">
        <x:v>WP02 WP03 WP04</x:v>
      </x:c>
      <x:c r="F10" s="7" t="str">
        <x:v>Typed bounded plans, model manifests, request lifecycle and budget accounting</x:v>
      </x:c>
    </x:row>
    <x:row r="11" ht="30" customHeight="1">
      <x:c r="A11" s="8" t="str">
        <x:v>WP06</x:v>
      </x:c>
      <x:c r="B11" s="8" t="str">
        <x:v>Clinical oversight</x:v>
      </x:c>
      <x:c r="C11" s="8" t="str">
        <x:v>R1</x:v>
      </x:c>
      <x:c r="D11" s="8" t="str">
        <x:v>Clinical safety lead</x:v>
      </x:c>
      <x:c r="E11" s="8" t="str">
        <x:v>WP02 WP04</x:v>
      </x:c>
      <x:c r="F11" s="8" t="str">
        <x:v>Review, escalation, composition controls and safety case handling</x:v>
      </x:c>
    </x:row>
    <x:row r="12" ht="30" customHeight="1">
      <x:c r="A12" s="7" t="str">
        <x:v>WP07</x:v>
      </x:c>
      <x:c r="B12" s="7" t="str">
        <x:v>External exchange</x:v>
      </x:c>
      <x:c r="C12" s="7" t="str">
        <x:v>R1</x:v>
      </x:c>
      <x:c r="D12" s="7" t="str">
        <x:v>Integration lead</x:v>
      </x:c>
      <x:c r="E12" s="7" t="str">
        <x:v>WP02 WP03 WP04</x:v>
      </x:c>
      <x:c r="F12" s="7" t="str">
        <x:v>MIS and EHR adapters, ABDM role paths, receipts and reconciliation</x:v>
      </x:c>
    </x:row>
    <x:row r="13" ht="30" customHeight="1">
      <x:c r="A13" s="8" t="str">
        <x:v>WP08</x:v>
      </x:c>
      <x:c r="B13" s="8" t="str">
        <x:v>Offline client and sync</x:v>
      </x:c>
      <x:c r="C13" s="8" t="str">
        <x:v>R1</x:v>
      </x:c>
      <x:c r="D13" s="8" t="str">
        <x:v>Mobile lead</x:v>
      </x:c>
      <x:c r="E13" s="8" t="str">
        <x:v>WP01 WP02 WP03</x:v>
      </x:c>
      <x:c r="F13" s="8" t="str">
        <x:v>Encrypted storage, signed lease, durable queue and ordered sync recovery</x:v>
      </x:c>
    </x:row>
    <x:row r="14" ht="30" customHeight="1">
      <x:c r="A14" s="7" t="str">
        <x:v>WP09</x:v>
      </x:c>
      <x:c r="B14" s="7" t="str">
        <x:v>Care coordination</x:v>
      </x:c>
      <x:c r="C14" s="7" t="str">
        <x:v>R1</x:v>
      </x:c>
      <x:c r="D14" s="7" t="str">
        <x:v>Care workflow lead</x:v>
      </x:c>
      <x:c r="E14" s="7" t="str">
        <x:v>WP03 WP04 WP06 WP07</x:v>
      </x:c>
      <x:c r="F14" s="7" t="str">
        <x:v>Referrals, directory, tasks, assignment and evidence-backed outcomes</x:v>
      </x:c>
    </x:row>
    <x:row r="15" ht="30" customHeight="1">
      <x:c r="A15" s="8" t="str">
        <x:v>WP10</x:v>
      </x:c>
      <x:c r="B15" s="8" t="str">
        <x:v>Operational measures</x:v>
      </x:c>
      <x:c r="C15" s="8" t="str">
        <x:v>R1 and R2</x:v>
      </x:c>
      <x:c r="D15" s="8" t="str">
        <x:v>Data lead</x:v>
      </x:c>
      <x:c r="E15" s="8" t="str">
        <x:v>WP03 WP07 WP09</x:v>
      </x:c>
      <x:c r="F15" s="8" t="str">
        <x:v>Versioned report definitions, projections, privacy controls and exports</x:v>
      </x:c>
    </x:row>
    <x:row r="16" ht="35.25" customHeight="1">
      <x:c r="A16" s="7" t="str">
        <x:v>WP11</x:v>
      </x:c>
      <x:c r="B16" s="7" t="str">
        <x:v>Release and support</x:v>
      </x:c>
      <x:c r="C16" s="7" t="str">
        <x:v>R1 and R2</x:v>
      </x:c>
      <x:c r="D16" s="7" t="str">
        <x:v>Operations lead</x:v>
      </x:c>
      <x:c r="E16" s="7" t="str">
        <x:v>WP02 WP05 WP07 WP08 WP09 WP10</x:v>
      </x:c>
      <x:c r="F16" s="7" t="str">
        <x:v>Release configuration, training, monitoring, backup, incident and exit processes</x:v>
      </x:c>
    </x:row>
  </x:sheetData>
  <x:mergeCells>
    <x:mergeCell ref="A1:F1"/>
    <x:mergeCell ref="A2:F2"/>
    <x:mergeCell ref="A3:F3"/>
  </x:mergeCells>
  <x:pageMargins left="0.7" right="0.7" top="0.75" bottom="0.75" header="0.3" footer="0.3"/>
  <x:tableParts count="1">
    <x:tablePart xmlns:r="http://schemas.openxmlformats.org/officeDocument/2006/relationships" r:id="Rfb53c69e84284fad"/>
  </x:tableParts>
</x:worksheet>
</file>

<file path=xl/worksheets/sheet6.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10.5600004196167" hidden="0" customWidth="1"/>
    <x:col min="2" max="2" width="25.559999465942383" hidden="0" customWidth="1"/>
    <x:col min="3" max="3" width="27.780000686645508" hidden="0" customWidth="1"/>
    <x:col min="4" max="4" width="42.220001220703125" hidden="0" customWidth="1"/>
    <x:col min="5" max="5" width="51.11000061035156" hidden="0" customWidth="1"/>
    <x:col min="6" max="6" width="47.779998779296875" hidden="0" customWidth="1"/>
    <x:col min="7" max="7" width="50" hidden="0" customWidth="1"/>
  </x:cols>
  <x:sheetData>
    <x:row r="1" ht="28.5" customHeight="1">
      <x:c r="A1" s="4" t="str">
        <x:v>Screens</x:v>
      </x:c>
      <x:c r="B1" s="4"/>
      <x:c r="C1" s="4"/>
      <x:c r="D1" s="4"/>
      <x:c r="E1" s="4"/>
      <x:c r="F1" s="4"/>
      <x:c r="G1" s="3"/>
    </x:row>
    <x:row r="2" ht="21" customHeight="1">
      <x:c r="A2" s="3" t="str">
        <x:v>Health AI Orchestration · v1.0 · source BRD v1.1 · proposed baseline · 26 September 2026</x:v>
      </x:c>
      <x:c r="B2" s="3"/>
      <x:c r="C2" s="3"/>
      <x:c r="D2" s="3"/>
      <x:c r="E2" s="3"/>
      <x:c r="F2" s="3"/>
      <x:c r="G2" s="3"/>
    </x:row>
    <x:row r="3" ht="21" customHeight="1">
      <x:c r="A3" s="3" t="str">
        <x:v>Controlled design catalogue. Update through the versioned specification review process.</x:v>
      </x:c>
      <x:c r="B3" s="3"/>
      <x:c r="C3" s="3"/>
      <x:c r="D3" s="3"/>
      <x:c r="E3" s="3"/>
      <x:c r="F3" s="3"/>
      <x:c r="G3" s="3"/>
    </x:row>
    <x:row r="4">
      <x:c r="A4" s="3"/>
      <x:c r="B4" s="3"/>
      <x:c r="C4" s="3"/>
      <x:c r="D4" s="3"/>
      <x:c r="E4" s="3"/>
      <x:c r="F4" s="3"/>
      <x:c r="G4" s="3"/>
    </x:row>
    <x:row r="5" ht="31.5" customHeight="1">
      <x:c r="A5" s="6" t="str">
        <x:v>Screen ID</x:v>
      </x:c>
      <x:c r="B5" s="6" t="str">
        <x:v>Name</x:v>
      </x:c>
      <x:c r="C5" s="6" t="str">
        <x:v>User</x:v>
      </x:c>
      <x:c r="D5" s="6" t="str">
        <x:v>Purpose</x:v>
      </x:c>
      <x:c r="E5" s="6" t="str">
        <x:v>Fields</x:v>
      </x:c>
      <x:c r="F5" s="6" t="str">
        <x:v>Actions</x:v>
      </x:c>
      <x:c r="G5" s="6" t="str">
        <x:v>Boundary</x:v>
      </x:c>
    </x:row>
    <x:row r="6" ht="35.25" customHeight="1">
      <x:c r="A6" s="7" t="str">
        <x:v>SCR01</x:v>
      </x:c>
      <x:c r="B6" s="7" t="str">
        <x:v>Assigned work</x:v>
      </x:c>
      <x:c r="C6" s="7" t="str">
        <x:v>Frontline worker</x:v>
      </x:c>
      <x:c r="D6" s="7" t="str">
        <x:v>Due visits and local sync state</x:v>
      </x:c>
      <x:c r="E6" s="7" t="str">
        <x:v>Person, task reason, due date, location label, offline lease</x:v>
      </x:c>
      <x:c r="F6" s="7" t="str">
        <x:v>Open person; filter due work; lock session</x:v>
      </x:c>
      <x:c r="G6" s="7" t="str">
        <x:v>No patient data before authentication; cached list restricted to valid lease</x:v>
      </x:c>
    </x:row>
    <x:row r="7" ht="30" customHeight="1">
      <x:c r="A7" s="8" t="str">
        <x:v>SCR02</x:v>
      </x:c>
      <x:c r="B7" s="8" t="str">
        <x:v>Person and identity</x:v>
      </x:c>
      <x:c r="C7" s="8" t="str">
        <x:v>Worker and identity steward</x:v>
      </x:c>
      <x:c r="D7" s="8" t="str">
        <x:v>Confirm the correct person before a visit</x:v>
      </x:c>
      <x:c r="E7" s="8" t="str">
        <x:v>Local ID, verified external links, age basis, household relationship</x:v>
      </x:c>
      <x:c r="F7" s="8" t="str">
        <x:v>Confirm match; create provisional person; request link correction</x:v>
      </x:c>
      <x:c r="G7" s="8" t="str">
        <x:v>No automatic name or phone merge; uncertain identity blocks disclosure</x:v>
      </x:c>
    </x:row>
    <x:row r="8" ht="35.25" customHeight="1">
      <x:c r="A8" s="7" t="str">
        <x:v>SCR03</x:v>
      </x:c>
      <x:c r="B8" s="7" t="str">
        <x:v>Encounter capture</x:v>
      </x:c>
      <x:c r="C8" s="7" t="str">
        <x:v>Frontline worker</x:v>
      </x:c>
      <x:c r="D8" s="7" t="str">
        <x:v>Capture facts once</x:v>
      </x:c>
      <x:c r="E8" s="7" t="str">
        <x:v>Episode, observations, units, effective time, source, missingness</x:v>
      </x:c>
      <x:c r="F8" s="7" t="str">
        <x:v>Type; start and stop voice; save draft</x:v>
      </x:c>
      <x:c r="G8" s="7" t="str">
        <x:v>Numeric and identity ambiguities remain drafts; local save has explicit status</x:v>
      </x:c>
    </x:row>
    <x:row r="9" ht="30" customHeight="1">
      <x:c r="A9" s="8" t="str">
        <x:v>SCR04</x:v>
      </x:c>
      <x:c r="B9" s="8" t="str">
        <x:v>Shared questions</x:v>
      </x:c>
      <x:c r="C9" s="8" t="str">
        <x:v>Frontline worker</x:v>
      </x:c>
      <x:c r="D9" s="8" t="str">
        <x:v>Resolve remaining programme needs</x:v>
      </x:c>
      <x:c r="E9" s="8" t="str">
        <x:v>Question, programme reasons, prior value, freshness, absence reason</x:v>
      </x:c>
      <x:c r="F9" s="8" t="str">
        <x:v>Reuse valid fact; record new fact; mark unknown or refused</x:v>
      </x:c>
      <x:c r="G9" s="8" t="str">
        <x:v>Separate questions retained when concepts or relevant time differ</x:v>
      </x:c>
    </x:row>
    <x:row r="10" ht="35.25" customHeight="1">
      <x:c r="A10" s="7" t="str">
        <x:v>SCR05</x:v>
      </x:c>
      <x:c r="B10" s="7" t="str">
        <x:v>Review and actions</x:v>
      </x:c>
      <x:c r="C10" s="7" t="str">
        <x:v>Worker or clinician</x:v>
      </x:c>
      <x:c r="D10" s="7" t="str">
        <x:v>Confirm facts and proposed actions</x:v>
      </x:c>
      <x:c r="E10" s="7" t="str">
        <x:v>Patient strip, facts, uncertainties, recipients, purpose, action checklist</x:v>
      </x:c>
      <x:c r="F10" s="7" t="str">
        <x:v>Confirm encounter; approve permitted actions; defer action</x:v>
      </x:c>
      <x:c r="G10" s="7" t="str">
        <x:v>Approval snapshot invalidated by material changes; clinical orders require authority</x:v>
      </x:c>
    </x:row>
    <x:row r="11" ht="35.25" customHeight="1">
      <x:c r="A11" s="8" t="str">
        <x:v>SCR06</x:v>
      </x:c>
      <x:c r="B11" s="8" t="str">
        <x:v>AI request and result</x:v>
      </x:c>
      <x:c r="C11" s="8" t="str">
        <x:v>Worker or clinician</x:v>
      </x:c>
      <x:c r="D11" s="8" t="str">
        <x:v>Track eligible AI work</x:v>
      </x:c>
      <x:c r="E11" s="8" t="str">
        <x:v>Provider and model version, input quality, request state, output and limits</x:v>
      </x:c>
      <x:c r="F11" s="8" t="str">
        <x:v>Record media; run; cancel pending call; request review</x:v>
      </x:c>
      <x:c r="G11" s="8" t="str">
        <x:v>No eligible model shows unavailable; timeout never becomes negative result</x:v>
      </x:c>
    </x:row>
    <x:row r="12" ht="30" customHeight="1">
      <x:c r="A12" s="7" t="str">
        <x:v>SCR07</x:v>
      </x:c>
      <x:c r="B12" s="7" t="str">
        <x:v>Submission receipts</x:v>
      </x:c>
      <x:c r="C12" s="7" t="str">
        <x:v>Worker and integration operator</x:v>
      </x:c>
      <x:c r="D12" s="7" t="str">
        <x:v>See each destination outcome</x:v>
      </x:c>
      <x:c r="E12" s="7" t="str">
        <x:v>Destination, record version, pending or accepted state, receipt, error</x:v>
      </x:c>
      <x:c r="F12" s="7" t="str">
        <x:v>Inspect receipt; reconcile uncertain result; correct rejected input</x:v>
      </x:c>
      <x:c r="G12" s="7" t="str">
        <x:v>No global green check while a required destination remains unresolved</x:v>
      </x:c>
    </x:row>
    <x:row r="13" ht="30" customHeight="1">
      <x:c r="A13" s="8" t="str">
        <x:v>SCR08</x:v>
      </x:c>
      <x:c r="B13" s="8" t="str">
        <x:v>Referral detail</x:v>
      </x:c>
      <x:c r="C13" s="8" t="str">
        <x:v>Worker clinician or supervisor</x:v>
      </x:c>
      <x:c r="D13" s="8" t="str">
        <x:v>Track care through verified outcome</x:v>
      </x:c>
      <x:c r="E13" s="8" t="str">
        <x:v>Reason, owner, destination, due date, timeline, supporting record links</x:v>
      </x:c>
      <x:c r="F13" s="8" t="str">
        <x:v>Send; reassign; record receiving evidence; close with reason</x:v>
      </x:c>
      <x:c r="G13" s="8" t="str">
        <x:v>Appointment and message delivery are not completed care</x:v>
      </x:c>
    </x:row>
    <x:row r="14" ht="30" customHeight="1">
      <x:c r="A14" s="7" t="str">
        <x:v>SCR09</x:v>
      </x:c>
      <x:c r="B14" s="7" t="str">
        <x:v>Offline queue</x:v>
      </x:c>
      <x:c r="C14" s="7" t="str">
        <x:v>Frontline worker</x:v>
      </x:c>
      <x:c r="D14" s="7" t="str">
        <x:v>Recover delayed work</x:v>
      </x:c>
      <x:c r="E14" s="7" t="str">
        <x:v>Local save time, dependency, lease status, pending item, conflict</x:v>
      </x:c>
      <x:c r="F14" s="7" t="str">
        <x:v>Sync; resolve conflict; cancel queued optional media</x:v>
      </x:c>
      <x:c r="G14" s="7" t="str">
        <x:v>Cancellation cannot undo a prior external acceptance</x:v>
      </x:c>
    </x:row>
    <x:row r="15" ht="35.25" customHeight="1">
      <x:c r="A15" s="8" t="str">
        <x:v>SCR10</x:v>
      </x:c>
      <x:c r="B15" s="8" t="str">
        <x:v>Clinical consultation</x:v>
      </x:c>
      <x:c r="C15" s="8" t="str">
        <x:v>Clinician and nurse</x:v>
      </x:c>
      <x:c r="D15" s="8" t="str">
        <x:v>Review multi-provider results and EHR context</x:v>
      </x:c>
      <x:c r="E15" s="8" t="str">
        <x:v>Encounter, source observations, AI results, orders, care plan</x:v>
      </x:c>
      <x:c r="F15" s="8" t="str">
        <x:v>Record decision; authorise order; prepare EHR write</x:v>
      </x:c>
      <x:c r="G15" s="8" t="str">
        <x:v>External source dates and provenance remain visible; unsupported writes unavailable</x:v>
      </x:c>
    </x:row>
    <x:row r="16" ht="35.25" customHeight="1">
      <x:c r="A16" s="7" t="str">
        <x:v>SCR11</x:v>
      </x:c>
      <x:c r="B16" s="7" t="str">
        <x:v>Consent and health exchange</x:v>
      </x:c>
      <x:c r="C16" s="7" t="str">
        <x:v>Worker or clinician with exchange authority</x:v>
      </x:c>
      <x:c r="D16" s="7" t="str">
        <x:v>Request only authorised health information</x:v>
      </x:c>
      <x:c r="E16" s="7" t="str">
        <x:v>ABHA link state, requester, purpose, types, date range, expiry</x:v>
      </x:c>
      <x:c r="F16" s="7" t="str">
        <x:v>Request consent; view status; retrieve eligible records</x:v>
      </x:c>
      <x:c r="G16" s="7" t="str">
        <x:v>Denied expired revoked and mismatched authority block retrieval</x:v>
      </x:c>
    </x:row>
    <x:row r="17" ht="30" customHeight="1">
      <x:c r="A17" s="8" t="str">
        <x:v>SCR12</x:v>
      </x:c>
      <x:c r="B17" s="8" t="str">
        <x:v>Supervisor exceptions</x:v>
      </x:c>
      <x:c r="C17" s="8" t="str">
        <x:v>Supervisor</x:v>
      </x:c>
      <x:c r="D17" s="8" t="str">
        <x:v>Resolve overdue work and failures</x:v>
      </x:c>
      <x:c r="E17" s="8" t="str">
        <x:v>Age of issue, owner, reason, source freshness, permitted person reference</x:v>
      </x:c>
      <x:c r="F17" s="8" t="str">
        <x:v>Assign; escalate; inspect permitted evidence</x:v>
      </x:c>
      <x:c r="G17" s="8" t="str">
        <x:v>No clinical access derived solely from supervisor title</x:v>
      </x:c>
    </x:row>
    <x:row r="18" ht="30" customHeight="1">
      <x:c r="A18" s="7" t="str">
        <x:v>SCR13</x:v>
      </x:c>
      <x:c r="B18" s="7" t="str">
        <x:v>Programme measures</x:v>
      </x:c>
      <x:c r="C18" s="7" t="str">
        <x:v>Programme manager</x:v>
      </x:c>
      <x:c r="D18" s="7" t="str">
        <x:v>Inspect reproducible indicators</x:v>
      </x:c>
      <x:c r="E18" s="7" t="str">
        <x:v>Period, cohort, filters, denominator, completeness, suppression</x:v>
      </x:c>
      <x:c r="F18" s="7" t="str">
        <x:v>Run approved report; request scoped export</x:v>
      </x:c>
      <x:c r="G18" s="7" t="str">
        <x:v>Small cells suppressed; person drilldown requires separate grant</x:v>
      </x:c>
    </x:row>
    <x:row r="19" ht="30" customHeight="1">
      <x:c r="A19" s="8" t="str">
        <x:v>SCR14</x:v>
      </x:c>
      <x:c r="B19" s="8" t="str">
        <x:v>Record conflict</x:v>
      </x:c>
      <x:c r="C19" s="8" t="str">
        <x:v>Authorised reviewer</x:v>
      </x:c>
      <x:c r="D19" s="8" t="str">
        <x:v>Resolve concurrent or mismatched records</x:v>
      </x:c>
      <x:c r="E19" s="8" t="str">
        <x:v>Original sources, effective times, revisions, destination state</x:v>
      </x:c>
      <x:c r="F19" s="8" t="str">
        <x:v>Retain both; select correction; create repair tasks</x:v>
      </x:c>
      <x:c r="G19" s="8" t="str">
        <x:v>No silent last-write-wins for clinical facts</x:v>
      </x:c>
    </x:row>
    <x:row r="20" ht="30" customHeight="1">
      <x:c r="A20" s="7" t="str">
        <x:v>SCR15</x:v>
      </x:c>
      <x:c r="B20" s="7" t="str">
        <x:v>Export and audit</x:v>
      </x:c>
      <x:c r="C20" s="7" t="str">
        <x:v>Auditor or scoped manager</x:v>
      </x:c>
      <x:c r="D20" s="7" t="str">
        <x:v>Reconstruct activity or export authorised records</x:v>
      </x:c>
      <x:c r="E20" s="7" t="str">
        <x:v>Purpose, scope, filters, expiry, version, download status</x:v>
      </x:c>
      <x:c r="F20" s="7" t="str">
        <x:v>Request export; inspect event chain</x:v>
      </x:c>
      <x:c r="G20" s="7" t="str">
        <x:v>Downloads expire; no raw media in general operational logs</x:v>
      </x:c>
    </x:row>
    <x:row r="21" ht="30" customHeight="1">
      <x:c r="A21" s="8" t="str">
        <x:v>SCR16</x:v>
      </x:c>
      <x:c r="B21" s="8" t="str">
        <x:v>Users and assignments</x:v>
      </x:c>
      <x:c r="C21" s="8" t="str">
        <x:v>Deployment administrator</x:v>
      </x:c>
      <x:c r="D21" s="8" t="str">
        <x:v>Manage verified staff and scope</x:v>
      </x:c>
      <x:c r="E21" s="8" t="str">
        <x:v>Principal, active role, facilities, programmes, assignment dates</x:v>
      </x:c>
      <x:c r="F21" s="8" t="str">
        <x:v>Invite; suspend; transfer caseload</x:v>
      </x:c>
      <x:c r="G21" s="8" t="str">
        <x:v>Role changes cannot self-grant clinical authority</x:v>
      </x:c>
    </x:row>
    <x:row r="22" ht="35.25" customHeight="1">
      <x:c r="A22" s="7" t="str">
        <x:v>SCR17</x:v>
      </x:c>
      <x:c r="B22" s="7" t="str">
        <x:v>Identity corrections</x:v>
      </x:c>
      <x:c r="C22" s="7" t="str">
        <x:v>Identity steward</x:v>
      </x:c>
      <x:c r="D22" s="7" t="str">
        <x:v>Repair wrong links</x:v>
      </x:c>
      <x:c r="E22" s="7" t="str">
        <x:v>Source identifiers, evidence, impacted records and submissions</x:v>
      </x:c>
      <x:c r="F22" s="7" t="str">
        <x:v>Approve link revision; assign downstream repairs</x:v>
      </x:c>
      <x:c r="G22" s="7" t="str">
        <x:v>No destructive merge; accepted external records need external correction</x:v>
      </x:c>
    </x:row>
    <x:row r="23" ht="30" customHeight="1">
      <x:c r="A23" s="8" t="str">
        <x:v>SCR18</x:v>
      </x:c>
      <x:c r="B23" s="8" t="str">
        <x:v>Programme pack versions</x:v>
      </x:c>
      <x:c r="C23" s="8" t="str">
        <x:v>Programme owner</x:v>
      </x:c>
      <x:c r="D23" s="8" t="str">
        <x:v>Publish reviewed workflow configuration</x:v>
      </x:c>
      <x:c r="E23" s="8" t="str">
        <x:v>Version, scope, questions, schedules, approvals, impact report</x:v>
      </x:c>
      <x:c r="F23" s="8" t="str">
        <x:v>Validate; review; activate; retire</x:v>
      </x:c>
      <x:c r="G23" s="8" t="str">
        <x:v>Clinical configuration needs named clinical review before live use</x:v>
      </x:c>
    </x:row>
    <x:row r="24" ht="30" customHeight="1">
      <x:c r="A24" s="7" t="str">
        <x:v>SCR19</x:v>
      </x:c>
      <x:c r="B24" s="7" t="str">
        <x:v>AI capability registry</x:v>
      </x:c>
      <x:c r="C24" s="7" t="str">
        <x:v>AI governance owner</x:v>
      </x:c>
      <x:c r="D24" s="7" t="str">
        <x:v>Control versioned provider capabilities</x:v>
      </x:c>
      <x:c r="E24" s="7" t="str">
        <x:v>Manifest, evidence, intended use, population, costs and activation</x:v>
      </x:c>
      <x:c r="F24" s="7" t="str">
        <x:v>Register; validate; review; activate; suspend</x:v>
      </x:c>
      <x:c r="G24" s="7" t="str">
        <x:v>Provider cannot approve its own live activation</x:v>
      </x:c>
    </x:row>
    <x:row r="25" ht="35.25" customHeight="1">
      <x:c r="A25" s="8" t="str">
        <x:v>SCR20</x:v>
      </x:c>
      <x:c r="B25" s="8" t="str">
        <x:v>Connector operations</x:v>
      </x:c>
      <x:c r="C25" s="8" t="str">
        <x:v>Integration operator</x:v>
      </x:c>
      <x:c r="D25" s="8" t="str">
        <x:v>Manage supported external operations</x:v>
      </x:c>
      <x:c r="E25" s="8" t="str">
        <x:v>Capability profile, environment, mapping version, receipts and queue ages</x:v>
      </x:c>
      <x:c r="F25" s="8" t="str">
        <x:v>Test contract; reconcile; pause; rotate secret reference</x:v>
      </x:c>
      <x:c r="G25" s="8" t="str">
        <x:v>Secrets hidden; sandbox pass and production readiness are separate states</x:v>
      </x:c>
    </x:row>
    <x:row r="26" ht="30" customHeight="1">
      <x:c r="A26" s="7" t="str">
        <x:v>SCR21</x:v>
      </x:c>
      <x:c r="B26" s="7" t="str">
        <x:v>Safety and privacy case</x:v>
      </x:c>
      <x:c r="C26" s="7" t="str">
        <x:v>Clinical safety or privacy lead</x:v>
      </x:c>
      <x:c r="D26" s="7" t="str">
        <x:v>Investigate harm and restricted data use</x:v>
      </x:c>
      <x:c r="E26" s="7" t="str">
        <x:v>Incident, minimal affected references, severity, containment, owner</x:v>
      </x:c>
      <x:c r="F26" s="7" t="str">
        <x:v>Contain; assign; document action; review closure</x:v>
      </x:c>
      <x:c r="G26" s="7" t="str">
        <x:v>Urgent clinical escalation remains available during investigation</x:v>
      </x:c>
    </x:row>
    <x:row r="27" ht="35.25" customHeight="1">
      <x:c r="A27" s="8" t="str">
        <x:v>SCR22</x:v>
      </x:c>
      <x:c r="B27" s="8" t="str">
        <x:v>Support and release</x:v>
      </x:c>
      <x:c r="C27" s="8" t="str">
        <x:v>Operations owner</x:v>
      </x:c>
      <x:c r="D27" s="8" t="str">
        <x:v>Operate an approved deployment</x:v>
      </x:c>
      <x:c r="E27" s="8" t="str">
        <x:v>Release manifest, service health, support cases, grants, restore evidence</x:v>
      </x:c>
      <x:c r="F27" s="8" t="str">
        <x:v>Create ticket; approve limited support; release or roll back</x:v>
      </x:c>
      <x:c r="G27" s="8" t="str">
        <x:v>Support grants expire; configuration rollback preserves clinical history</x:v>
      </x:c>
    </x:row>
  </x:sheetData>
  <x:mergeCells>
    <x:mergeCell ref="A1:F1"/>
    <x:mergeCell ref="A2:F2"/>
    <x:mergeCell ref="A3:F3"/>
  </x:mergeCells>
  <x:pageMargins left="0.7" right="0.7" top="0.75" bottom="0.75" header="0.3" footer="0.3"/>
  <x:tableParts count="1">
    <x:tablePart xmlns:r="http://schemas.openxmlformats.org/officeDocument/2006/relationships" r:id="R78682603a9914a63"/>
  </x:tableParts>
</x:worksheet>
</file>

<file path=xl/worksheets/sheet7.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18.889999389648438" hidden="0" customWidth="1"/>
    <x:col min="2" max="2" width="23.329999923706055" hidden="0" customWidth="1"/>
    <x:col min="3" max="3" width="16.670000076293945" hidden="0" customWidth="1"/>
    <x:col min="4" max="4" width="11.109999656677246" hidden="0" customWidth="1"/>
    <x:col min="5" max="5" width="41.11000061035156" hidden="0" customWidth="1"/>
    <x:col min="6" max="6" width="14.4399995803833" hidden="0" customWidth="1"/>
    <x:col min="7" max="7" width="30" hidden="0" customWidth="1"/>
    <x:col min="8" max="8" width="35.560001373291016" hidden="0" customWidth="1"/>
    <x:col min="9" max="9" width="33.33000183105469" hidden="0" customWidth="1"/>
  </x:cols>
  <x:sheetData>
    <x:row r="1" ht="28.5" customHeight="1">
      <x:c r="A1" s="4" t="str">
        <x:v>Data Dictionary</x:v>
      </x:c>
      <x:c r="B1" s="4"/>
      <x:c r="C1" s="4"/>
      <x:c r="D1" s="4"/>
      <x:c r="E1" s="4"/>
      <x:c r="F1" s="4"/>
      <x:c r="G1" s="3"/>
      <x:c r="H1" s="3"/>
      <x:c r="I1" s="3"/>
    </x:row>
    <x:row r="2" ht="21" customHeight="1">
      <x:c r="A2" s="3" t="str">
        <x:v>Health AI Orchestration · v1.0 · source BRD v1.1 · proposed baseline · 26 September 2026</x:v>
      </x:c>
      <x:c r="B2" s="3"/>
      <x:c r="C2" s="3"/>
      <x:c r="D2" s="3"/>
      <x:c r="E2" s="3"/>
      <x:c r="F2" s="3"/>
      <x:c r="G2" s="3"/>
      <x:c r="H2" s="3"/>
      <x:c r="I2" s="3"/>
    </x:row>
    <x:row r="3" ht="21" customHeight="1">
      <x:c r="A3" s="3" t="str">
        <x:v>Controlled design catalogue. Update through the versioned specification review process.</x:v>
      </x:c>
      <x:c r="B3" s="3"/>
      <x:c r="C3" s="3"/>
      <x:c r="D3" s="3"/>
      <x:c r="E3" s="3"/>
      <x:c r="F3" s="3"/>
      <x:c r="G3" s="3"/>
      <x:c r="H3" s="3"/>
      <x:c r="I3" s="3"/>
    </x:row>
    <x:row r="4">
      <x:c r="A4" s="3"/>
      <x:c r="B4" s="3"/>
      <x:c r="C4" s="3"/>
      <x:c r="D4" s="3"/>
      <x:c r="E4" s="3"/>
      <x:c r="F4" s="3"/>
      <x:c r="G4" s="3"/>
      <x:c r="H4" s="3"/>
      <x:c r="I4" s="3"/>
    </x:row>
    <x:row r="5" ht="31.5" customHeight="1">
      <x:c r="A5" s="6" t="str">
        <x:v>Entity</x:v>
      </x:c>
      <x:c r="B5" s="6" t="str">
        <x:v>Field</x:v>
      </x:c>
      <x:c r="C5" s="6" t="str">
        <x:v>Database type</x:v>
      </x:c>
      <x:c r="D5" s="6" t="str">
        <x:v>Presence</x:v>
      </x:c>
      <x:c r="E5" s="6" t="str">
        <x:v>Meaning or constraint</x:v>
      </x:c>
      <x:c r="F5" s="6" t="str">
        <x:v>Classification</x:v>
      </x:c>
      <x:c r="G5" s="6" t="str">
        <x:v>Source</x:v>
      </x:c>
      <x:c r="H5" s="6" t="str">
        <x:v>Provenance rule</x:v>
      </x:c>
      <x:c r="I5" s="6" t="str">
        <x:v>Retention</x:v>
      </x:c>
    </x:row>
    <x:row r="6" ht="35.25" customHeight="1">
      <x:c r="A6" s="7" t="str">
        <x:v>Person</x:v>
      </x:c>
      <x:c r="B6" s="7" t="str">
        <x:v>id</x:v>
      </x:c>
      <x:c r="C6" s="7" t="str">
        <x:v>uuid</x:v>
      </x:c>
      <x:c r="D6" s="7" t="str">
        <x:v>Required</x:v>
      </x:c>
      <x:c r="E6" s="7" t="str">
        <x:v>Stable platform resource identifier, independent of external patient identifiers. Format: uuid</x:v>
      </x:c>
      <x:c r="F6" s="7" t="str">
        <x:v>Sensitive</x:v>
      </x:c>
      <x:c r="G6" s="7" t="str">
        <x:v>Server generated</x:v>
      </x:c>
      <x:c r="H6" s="7" t="str">
        <x:v>Retain original source and revision</x:v>
      </x:c>
      <x:c r="I6" s="7" t="str">
        <x:v>By approved record class policy</x:v>
      </x:c>
    </x:row>
    <x:row r="7" ht="35.25" customHeight="1">
      <x:c r="A7" s="8" t="str">
        <x:v>Person</x:v>
      </x:c>
      <x:c r="B7" s="8" t="str">
        <x:v>tenant_id</x:v>
      </x:c>
      <x:c r="C7" s="8" t="str">
        <x:v>uuid</x:v>
      </x:c>
      <x:c r="D7" s="8" t="str">
        <x:v>Required</x:v>
      </x:c>
      <x:c r="E7" s="8" t="str">
        <x:v>Owning deployment boundary derived from verified server context. Format: uuid</x:v>
      </x:c>
      <x:c r="F7" s="8" t="str">
        <x:v>Sensitive</x:v>
      </x:c>
      <x:c r="G7" s="8" t="str">
        <x:v>Server generated</x:v>
      </x:c>
      <x:c r="H7" s="8" t="str">
        <x:v>Retain original source and revision</x:v>
      </x:c>
      <x:c r="I7" s="8" t="str">
        <x:v>By approved record class policy</x:v>
      </x:c>
    </x:row>
    <x:row r="8" ht="35.25" customHeight="1">
      <x:c r="A8" s="7" t="str">
        <x:v>Person</x:v>
      </x:c>
      <x:c r="B8" s="7" t="str">
        <x:v>version</x:v>
      </x:c>
      <x:c r="C8" s="7" t="str">
        <x:v>bigint</x:v>
      </x:c>
      <x:c r="D8" s="7" t="str">
        <x:v>Required</x:v>
      </x:c>
      <x:c r="E8" s="7" t="str">
        <x:v>Monotonically increasing resource version used for concurrency and revision binding. Type: integer</x:v>
      </x:c>
      <x:c r="F8" s="7" t="str">
        <x:v>Sensitive</x:v>
      </x:c>
      <x:c r="G8" s="7" t="str">
        <x:v>Server generated</x:v>
      </x:c>
      <x:c r="H8" s="7" t="str">
        <x:v>Retain original source and revision</x:v>
      </x:c>
      <x:c r="I8" s="7" t="str">
        <x:v>By approved record class policy</x:v>
      </x:c>
    </x:row>
    <x:row r="9" ht="47.25" customHeight="1">
      <x:c r="A9" s="8" t="str">
        <x:v>Person</x:v>
      </x:c>
      <x:c r="B9" s="8" t="str">
        <x:v>environment</x:v>
      </x:c>
      <x:c r="C9" s="8" t="str">
        <x:v>text</x:v>
      </x:c>
      <x:c r="D9" s="8" t="str">
        <x:v>Required</x:v>
      </x:c>
      <x:c r="E9" s="8" t="str">
        <x:v>Synthetic, test or production origin; environments must not exchange live credentials. Allowed values: synthetic, test, production</x:v>
      </x:c>
      <x:c r="F9" s="8" t="str">
        <x:v>Sensitive</x:v>
      </x:c>
      <x:c r="G9" s="8" t="str">
        <x:v>Server generated</x:v>
      </x:c>
      <x:c r="H9" s="8" t="str">
        <x:v>Retain original source and revision</x:v>
      </x:c>
      <x:c r="I9" s="8" t="str">
        <x:v>By approved record class policy</x:v>
      </x:c>
    </x:row>
    <x:row r="10" ht="35.25" customHeight="1">
      <x:c r="A10" s="7" t="str">
        <x:v>Person</x:v>
      </x:c>
      <x:c r="B10" s="7" t="str">
        <x:v>created_at</x:v>
      </x:c>
      <x:c r="C10" s="7" t="str">
        <x:v>timestamptz</x:v>
      </x:c>
      <x:c r="D10" s="7" t="str">
        <x:v>Required</x:v>
      </x:c>
      <x:c r="E10" s="7" t="str">
        <x:v>Server timestamp at original resource creation. Format: date-time</x:v>
      </x:c>
      <x:c r="F10" s="7" t="str">
        <x:v>Sensitive</x:v>
      </x:c>
      <x:c r="G10" s="7" t="str">
        <x:v>Server generated</x:v>
      </x:c>
      <x:c r="H10" s="7" t="str">
        <x:v>Retain original source and revision</x:v>
      </x:c>
      <x:c r="I10" s="7" t="str">
        <x:v>By approved record class policy</x:v>
      </x:c>
    </x:row>
    <x:row r="11" ht="35.25" customHeight="1">
      <x:c r="A11" s="8" t="str">
        <x:v>Person</x:v>
      </x:c>
      <x:c r="B11" s="8" t="str">
        <x:v>updated_at</x:v>
      </x:c>
      <x:c r="C11" s="8" t="str">
        <x:v>timestamptz</x:v>
      </x:c>
      <x:c r="D11" s="8" t="str">
        <x:v>Required</x:v>
      </x:c>
      <x:c r="E11" s="8" t="str">
        <x:v>Server timestamp at the latest current-pointer or lifecycle change. Format: date-time</x:v>
      </x:c>
      <x:c r="F11" s="8" t="str">
        <x:v>Sensitive</x:v>
      </x:c>
      <x:c r="G11" s="8" t="str">
        <x:v>Server generated</x:v>
      </x:c>
      <x:c r="H11" s="8" t="str">
        <x:v>Retain original source and revision</x:v>
      </x:c>
      <x:c r="I11" s="8" t="str">
        <x:v>By approved record class policy</x:v>
      </x:c>
    </x:row>
    <x:row r="12" ht="35.25" customHeight="1">
      <x:c r="A12" s="7" t="str">
        <x:v>Person</x:v>
      </x:c>
      <x:c r="B12" s="7" t="str">
        <x:v>display_name</x:v>
      </x:c>
      <x:c r="C12" s="7" t="str">
        <x:v>text</x:v>
      </x:c>
      <x:c r="D12" s="7" t="str">
        <x:v>Required</x:v>
      </x:c>
      <x:c r="E12" s="7" t="str">
        <x:v>Person name displayed only within permitted identity scope. Type: string</x:v>
      </x:c>
      <x:c r="F12" s="7" t="str">
        <x:v>Sensitive</x:v>
      </x:c>
      <x:c r="G12" s="7" t="str">
        <x:v>Authorised actor or verified source</x:v>
      </x:c>
      <x:c r="H12" s="7" t="str">
        <x:v>Retain original source and revision</x:v>
      </x:c>
      <x:c r="I12" s="7" t="str">
        <x:v>By approved record class policy</x:v>
      </x:c>
    </x:row>
    <x:row r="13" ht="35.25" customHeight="1">
      <x:c r="A13" s="8" t="str">
        <x:v>Person</x:v>
      </x:c>
      <x:c r="B13" s="8" t="str">
        <x:v>birth_date</x:v>
      </x:c>
      <x:c r="C13" s="8" t="str">
        <x:v>date</x:v>
      </x:c>
      <x:c r="D13" s="8" t="str">
        <x:v>Optional</x:v>
      </x:c>
      <x:c r="E13" s="8" t="str">
        <x:v>Date of birth when supplied; interpret with age_basis. Format: date</x:v>
      </x:c>
      <x:c r="F13" s="8" t="str">
        <x:v>Sensitive</x:v>
      </x:c>
      <x:c r="G13" s="8" t="str">
        <x:v>Authorised actor or verified source</x:v>
      </x:c>
      <x:c r="H13" s="8" t="str">
        <x:v>Retain original source and revision</x:v>
      </x:c>
      <x:c r="I13" s="8" t="str">
        <x:v>By approved record class policy</x:v>
      </x:c>
    </x:row>
    <x:row r="14" ht="35.25" customHeight="1">
      <x:c r="A14" s="7" t="str">
        <x:v>Person</x:v>
      </x:c>
      <x:c r="B14" s="7" t="str">
        <x:v>age_basis</x:v>
      </x:c>
      <x:c r="C14" s="7" t="str">
        <x:v>text</x:v>
      </x:c>
      <x:c r="D14" s="7" t="str">
        <x:v>Required</x:v>
      </x:c>
      <x:c r="E14" s="7" t="str">
        <x:v>Allowed values: verified_date, reported_date, reported_age, unknown</x:v>
      </x:c>
      <x:c r="F14" s="7" t="str">
        <x:v>Sensitive</x:v>
      </x:c>
      <x:c r="G14" s="7" t="str">
        <x:v>Authorised actor or verified source</x:v>
      </x:c>
      <x:c r="H14" s="7" t="str">
        <x:v>Retain original source and revision</x:v>
      </x:c>
      <x:c r="I14" s="7" t="str">
        <x:v>By approved record class policy</x:v>
      </x:c>
    </x:row>
    <x:row r="15" ht="35.25" customHeight="1">
      <x:c r="A15" s="8" t="str">
        <x:v>Person</x:v>
      </x:c>
      <x:c r="B15" s="8" t="str">
        <x:v>reported_age_years</x:v>
      </x:c>
      <x:c r="C15" s="8" t="str">
        <x:v>bigint</x:v>
      </x:c>
      <x:c r="D15" s="8" t="str">
        <x:v>Optional</x:v>
      </x:c>
      <x:c r="E15" s="8" t="str">
        <x:v>Reported whole-year age; not an inferred verified birth date. Type: integer</x:v>
      </x:c>
      <x:c r="F15" s="8" t="str">
        <x:v>Sensitive</x:v>
      </x:c>
      <x:c r="G15" s="8" t="str">
        <x:v>Authorised actor or verified source</x:v>
      </x:c>
      <x:c r="H15" s="8" t="str">
        <x:v>Retain original source and revision</x:v>
      </x:c>
      <x:c r="I15" s="8" t="str">
        <x:v>By approved record class policy</x:v>
      </x:c>
    </x:row>
    <x:row r="16" ht="30" customHeight="1">
      <x:c r="A16" s="7" t="str">
        <x:v>Person</x:v>
      </x:c>
      <x:c r="B16" s="7" t="str">
        <x:v>identity_status</x:v>
      </x:c>
      <x:c r="C16" s="7" t="str">
        <x:v>text</x:v>
      </x:c>
      <x:c r="D16" s="7" t="str">
        <x:v>Required</x:v>
      </x:c>
      <x:c r="E16" s="7" t="str">
        <x:v>Allowed values: provisional, confirmed, disputed</x:v>
      </x:c>
      <x:c r="F16" s="7" t="str">
        <x:v>Sensitive</x:v>
      </x:c>
      <x:c r="G16" s="7" t="str">
        <x:v>Authorised actor or verified source</x:v>
      </x:c>
      <x:c r="H16" s="7" t="str">
        <x:v>Retain original source and revision</x:v>
      </x:c>
      <x:c r="I16" s="7" t="str">
        <x:v>By approved record class policy</x:v>
      </x:c>
    </x:row>
    <x:row r="17" ht="35.25" customHeight="1">
      <x:c r="A17" s="8" t="str">
        <x:v>Person</x:v>
      </x:c>
      <x:c r="B17" s="8" t="str">
        <x:v>preferred_language</x:v>
      </x:c>
      <x:c r="C17" s="8" t="str">
        <x:v>text</x:v>
      </x:c>
      <x:c r="D17" s="8" t="str">
        <x:v>Required</x:v>
      </x:c>
      <x:c r="E17" s="8" t="str">
        <x:v>Preferred supported language code for this person. Type: string</x:v>
      </x:c>
      <x:c r="F17" s="8" t="str">
        <x:v>Sensitive</x:v>
      </x:c>
      <x:c r="G17" s="8" t="str">
        <x:v>Authorised actor or verified source</x:v>
      </x:c>
      <x:c r="H17" s="8" t="str">
        <x:v>Retain original source and revision</x:v>
      </x:c>
      <x:c r="I17" s="8" t="str">
        <x:v>By approved record class policy</x:v>
      </x:c>
    </x:row>
    <x:row r="18" ht="35.25" customHeight="1">
      <x:c r="A18" s="7" t="str">
        <x:v>IdentifierLink</x:v>
      </x:c>
      <x:c r="B18" s="7" t="str">
        <x:v>id</x:v>
      </x:c>
      <x:c r="C18" s="7" t="str">
        <x:v>uuid</x:v>
      </x:c>
      <x:c r="D18" s="7" t="str">
        <x:v>Required</x:v>
      </x:c>
      <x:c r="E18" s="7" t="str">
        <x:v>Stable platform resource identifier, independent of external patient identifiers. Format: uuid</x:v>
      </x:c>
      <x:c r="F18" s="7" t="str">
        <x:v>Sensitive</x:v>
      </x:c>
      <x:c r="G18" s="7" t="str">
        <x:v>Server generated</x:v>
      </x:c>
      <x:c r="H18" s="7" t="str">
        <x:v>Retain original source and revision</x:v>
      </x:c>
      <x:c r="I18" s="7" t="str">
        <x:v>By approved record class policy</x:v>
      </x:c>
    </x:row>
    <x:row r="19" ht="35.25" customHeight="1">
      <x:c r="A19" s="8" t="str">
        <x:v>IdentifierLink</x:v>
      </x:c>
      <x:c r="B19" s="8" t="str">
        <x:v>tenant_id</x:v>
      </x:c>
      <x:c r="C19" s="8" t="str">
        <x:v>uuid</x:v>
      </x:c>
      <x:c r="D19" s="8" t="str">
        <x:v>Required</x:v>
      </x:c>
      <x:c r="E19" s="8" t="str">
        <x:v>Owning deployment boundary derived from verified server context. Format: uuid</x:v>
      </x:c>
      <x:c r="F19" s="8" t="str">
        <x:v>Sensitive</x:v>
      </x:c>
      <x:c r="G19" s="8" t="str">
        <x:v>Server generated</x:v>
      </x:c>
      <x:c r="H19" s="8" t="str">
        <x:v>Retain original source and revision</x:v>
      </x:c>
      <x:c r="I19" s="8" t="str">
        <x:v>By approved record class policy</x:v>
      </x:c>
    </x:row>
    <x:row r="20" ht="35.25" customHeight="1">
      <x:c r="A20" s="7" t="str">
        <x:v>IdentifierLink</x:v>
      </x:c>
      <x:c r="B20" s="7" t="str">
        <x:v>version</x:v>
      </x:c>
      <x:c r="C20" s="7" t="str">
        <x:v>bigint</x:v>
      </x:c>
      <x:c r="D20" s="7" t="str">
        <x:v>Required</x:v>
      </x:c>
      <x:c r="E20" s="7" t="str">
        <x:v>Monotonically increasing resource version used for concurrency and revision binding. Type: integer</x:v>
      </x:c>
      <x:c r="F20" s="7" t="str">
        <x:v>Sensitive</x:v>
      </x:c>
      <x:c r="G20" s="7" t="str">
        <x:v>Server generated</x:v>
      </x:c>
      <x:c r="H20" s="7" t="str">
        <x:v>Retain original source and revision</x:v>
      </x:c>
      <x:c r="I20" s="7" t="str">
        <x:v>By approved record class policy</x:v>
      </x:c>
    </x:row>
    <x:row r="21" ht="47.25" customHeight="1">
      <x:c r="A21" s="8" t="str">
        <x:v>IdentifierLink</x:v>
      </x:c>
      <x:c r="B21" s="8" t="str">
        <x:v>environment</x:v>
      </x:c>
      <x:c r="C21" s="8" t="str">
        <x:v>text</x:v>
      </x:c>
      <x:c r="D21" s="8" t="str">
        <x:v>Required</x:v>
      </x:c>
      <x:c r="E21" s="8" t="str">
        <x:v>Synthetic, test or production origin; environments must not exchange live credentials. Allowed values: synthetic, test, production</x:v>
      </x:c>
      <x:c r="F21" s="8" t="str">
        <x:v>Sensitive</x:v>
      </x:c>
      <x:c r="G21" s="8" t="str">
        <x:v>Server generated</x:v>
      </x:c>
      <x:c r="H21" s="8" t="str">
        <x:v>Retain original source and revision</x:v>
      </x:c>
      <x:c r="I21" s="8" t="str">
        <x:v>By approved record class policy</x:v>
      </x:c>
    </x:row>
    <x:row r="22" ht="35.25" customHeight="1">
      <x:c r="A22" s="7" t="str">
        <x:v>IdentifierLink</x:v>
      </x:c>
      <x:c r="B22" s="7" t="str">
        <x:v>created_at</x:v>
      </x:c>
      <x:c r="C22" s="7" t="str">
        <x:v>timestamptz</x:v>
      </x:c>
      <x:c r="D22" s="7" t="str">
        <x:v>Required</x:v>
      </x:c>
      <x:c r="E22" s="7" t="str">
        <x:v>Server timestamp at original resource creation. Format: date-time</x:v>
      </x:c>
      <x:c r="F22" s="7" t="str">
        <x:v>Sensitive</x:v>
      </x:c>
      <x:c r="G22" s="7" t="str">
        <x:v>Server generated</x:v>
      </x:c>
      <x:c r="H22" s="7" t="str">
        <x:v>Retain original source and revision</x:v>
      </x:c>
      <x:c r="I22" s="7" t="str">
        <x:v>By approved record class policy</x:v>
      </x:c>
    </x:row>
    <x:row r="23" ht="35.25" customHeight="1">
      <x:c r="A23" s="8" t="str">
        <x:v>IdentifierLink</x:v>
      </x:c>
      <x:c r="B23" s="8" t="str">
        <x:v>updated_at</x:v>
      </x:c>
      <x:c r="C23" s="8" t="str">
        <x:v>timestamptz</x:v>
      </x:c>
      <x:c r="D23" s="8" t="str">
        <x:v>Required</x:v>
      </x:c>
      <x:c r="E23" s="8" t="str">
        <x:v>Server timestamp at the latest current-pointer or lifecycle change. Format: date-time</x:v>
      </x:c>
      <x:c r="F23" s="8" t="str">
        <x:v>Sensitive</x:v>
      </x:c>
      <x:c r="G23" s="8" t="str">
        <x:v>Server generated</x:v>
      </x:c>
      <x:c r="H23" s="8" t="str">
        <x:v>Retain original source and revision</x:v>
      </x:c>
      <x:c r="I23" s="8" t="str">
        <x:v>By approved record class policy</x:v>
      </x:c>
    </x:row>
    <x:row r="24" ht="35.25" customHeight="1">
      <x:c r="A24" s="7" t="str">
        <x:v>IdentifierLink</x:v>
      </x:c>
      <x:c r="B24" s="7" t="str">
        <x:v>person_id</x:v>
      </x:c>
      <x:c r="C24" s="7" t="str">
        <x:v>uuid</x:v>
      </x:c>
      <x:c r="D24" s="7" t="str">
        <x:v>Required</x:v>
      </x:c>
      <x:c r="E24" s="7" t="str">
        <x:v>Subject person reference; must agree with the encounter and action context. Format: uuid</x:v>
      </x:c>
      <x:c r="F24" s="7" t="str">
        <x:v>Sensitive</x:v>
      </x:c>
      <x:c r="G24" s="7" t="str">
        <x:v>Authorised actor or verified source</x:v>
      </x:c>
      <x:c r="H24" s="7" t="str">
        <x:v>Retain original source and revision</x:v>
      </x:c>
      <x:c r="I24" s="7" t="str">
        <x:v>By approved record class policy</x:v>
      </x:c>
    </x:row>
    <x:row r="25" ht="35.25" customHeight="1">
      <x:c r="A25" s="8" t="str">
        <x:v>IdentifierLink</x:v>
      </x:c>
      <x:c r="B25" s="8" t="str">
        <x:v>issuer</x:v>
      </x:c>
      <x:c r="C25" s="8" t="str">
        <x:v>text</x:v>
      </x:c>
      <x:c r="D25" s="8" t="str">
        <x:v>Required</x:v>
      </x:c>
      <x:c r="E25" s="8" t="str">
        <x:v>Organisation or system namespace that issued an external identifier. Type: string</x:v>
      </x:c>
      <x:c r="F25" s="8" t="str">
        <x:v>Sensitive</x:v>
      </x:c>
      <x:c r="G25" s="8" t="str">
        <x:v>Authorised actor or verified source</x:v>
      </x:c>
      <x:c r="H25" s="8" t="str">
        <x:v>Retain original source and revision</x:v>
      </x:c>
      <x:c r="I25" s="8" t="str">
        <x:v>By approved record class policy</x:v>
      </x:c>
    </x:row>
    <x:row r="26" ht="35.25" customHeight="1">
      <x:c r="A26" s="7" t="str">
        <x:v>IdentifierLink</x:v>
      </x:c>
      <x:c r="B26" s="7" t="str">
        <x:v>external_identifier</x:v>
      </x:c>
      <x:c r="C26" s="7" t="str">
        <x:v>text</x:v>
      </x:c>
      <x:c r="D26" s="7" t="str">
        <x:v>Required</x:v>
      </x:c>
      <x:c r="E26" s="7" t="str">
        <x:v>Issuer-scoped identifier; never a global permission grant. Type: string</x:v>
      </x:c>
      <x:c r="F26" s="7" t="str">
        <x:v>Sensitive</x:v>
      </x:c>
      <x:c r="G26" s="7" t="str">
        <x:v>Authorised actor or verified source</x:v>
      </x:c>
      <x:c r="H26" s="7" t="str">
        <x:v>Retain original source and revision</x:v>
      </x:c>
      <x:c r="I26" s="7" t="str">
        <x:v>By approved record class policy</x:v>
      </x:c>
    </x:row>
    <x:row r="27" ht="30" customHeight="1">
      <x:c r="A27" s="8" t="str">
        <x:v>IdentifierLink</x:v>
      </x:c>
      <x:c r="B27" s="8" t="str">
        <x:v>verification</x:v>
      </x:c>
      <x:c r="C27" s="8" t="str">
        <x:v>text</x:v>
      </x:c>
      <x:c r="D27" s="8" t="str">
        <x:v>Required</x:v>
      </x:c>
      <x:c r="E27" s="8" t="str">
        <x:v>Allowed values: unverified, verified, disputed, superseded</x:v>
      </x:c>
      <x:c r="F27" s="8" t="str">
        <x:v>Sensitive</x:v>
      </x:c>
      <x:c r="G27" s="8" t="str">
        <x:v>Authorised actor or verified source</x:v>
      </x:c>
      <x:c r="H27" s="8" t="str">
        <x:v>Retain original source and revision</x:v>
      </x:c>
      <x:c r="I27" s="8" t="str">
        <x:v>By approved record class policy</x:v>
      </x:c>
    </x:row>
    <x:row r="28" ht="35.25" customHeight="1">
      <x:c r="A28" s="7" t="str">
        <x:v>IdentifierLink</x:v>
      </x:c>
      <x:c r="B28" s="7" t="str">
        <x:v>evidence_ref</x:v>
      </x:c>
      <x:c r="C28" s="7" t="str">
        <x:v>text</x:v>
      </x:c>
      <x:c r="D28" s="7" t="str">
        <x:v>Optional</x:v>
      </x:c>
      <x:c r="E28" s="7" t="str">
        <x:v>Controlled reference proving the recorded event or decision. Type: string</x:v>
      </x:c>
      <x:c r="F28" s="7" t="str">
        <x:v>Sensitive</x:v>
      </x:c>
      <x:c r="G28" s="7" t="str">
        <x:v>Authorised actor or verified source</x:v>
      </x:c>
      <x:c r="H28" s="7" t="str">
        <x:v>Retain original source and revision</x:v>
      </x:c>
      <x:c r="I28" s="7" t="str">
        <x:v>By approved record class policy</x:v>
      </x:c>
    </x:row>
    <x:row r="29" ht="35.25" customHeight="1">
      <x:c r="A29" s="8" t="str">
        <x:v>IdentifierLink</x:v>
      </x:c>
      <x:c r="B29" s="8" t="str">
        <x:v>supersedes_id</x:v>
      </x:c>
      <x:c r="C29" s="8" t="str">
        <x:v>uuid</x:v>
      </x:c>
      <x:c r="D29" s="8" t="str">
        <x:v>Optional</x:v>
      </x:c>
      <x:c r="E29" s="8" t="str">
        <x:v>Prior resource or observation replaced by an attributable correction. Format: uuid</x:v>
      </x:c>
      <x:c r="F29" s="8" t="str">
        <x:v>Sensitive</x:v>
      </x:c>
      <x:c r="G29" s="8" t="str">
        <x:v>Authorised actor or verified source</x:v>
      </x:c>
      <x:c r="H29" s="8" t="str">
        <x:v>Retain original source and revision</x:v>
      </x:c>
      <x:c r="I29" s="8" t="str">
        <x:v>By approved record class policy</x:v>
      </x:c>
    </x:row>
    <x:row r="30" ht="35.25" customHeight="1">
      <x:c r="A30" s="7" t="str">
        <x:v>HouseholdMembership</x:v>
      </x:c>
      <x:c r="B30" s="7" t="str">
        <x:v>id</x:v>
      </x:c>
      <x:c r="C30" s="7" t="str">
        <x:v>uuid</x:v>
      </x:c>
      <x:c r="D30" s="7" t="str">
        <x:v>Required</x:v>
      </x:c>
      <x:c r="E30" s="7" t="str">
        <x:v>Stable platform resource identifier, independent of external patient identifiers. Format: uuid</x:v>
      </x:c>
      <x:c r="F30" s="7" t="str">
        <x:v>Sensitive</x:v>
      </x:c>
      <x:c r="G30" s="7" t="str">
        <x:v>Server generated</x:v>
      </x:c>
      <x:c r="H30" s="7" t="str">
        <x:v>Retain original source and revision</x:v>
      </x:c>
      <x:c r="I30" s="7" t="str">
        <x:v>By approved record class policy</x:v>
      </x:c>
    </x:row>
    <x:row r="31" ht="35.25" customHeight="1">
      <x:c r="A31" s="8" t="str">
        <x:v>HouseholdMembership</x:v>
      </x:c>
      <x:c r="B31" s="8" t="str">
        <x:v>tenant_id</x:v>
      </x:c>
      <x:c r="C31" s="8" t="str">
        <x:v>uuid</x:v>
      </x:c>
      <x:c r="D31" s="8" t="str">
        <x:v>Required</x:v>
      </x:c>
      <x:c r="E31" s="8" t="str">
        <x:v>Owning deployment boundary derived from verified server context. Format: uuid</x:v>
      </x:c>
      <x:c r="F31" s="8" t="str">
        <x:v>Sensitive</x:v>
      </x:c>
      <x:c r="G31" s="8" t="str">
        <x:v>Server generated</x:v>
      </x:c>
      <x:c r="H31" s="8" t="str">
        <x:v>Retain original source and revision</x:v>
      </x:c>
      <x:c r="I31" s="8" t="str">
        <x:v>By approved record class policy</x:v>
      </x:c>
    </x:row>
    <x:row r="32" ht="35.25" customHeight="1">
      <x:c r="A32" s="7" t="str">
        <x:v>HouseholdMembership</x:v>
      </x:c>
      <x:c r="B32" s="7" t="str">
        <x:v>version</x:v>
      </x:c>
      <x:c r="C32" s="7" t="str">
        <x:v>bigint</x:v>
      </x:c>
      <x:c r="D32" s="7" t="str">
        <x:v>Required</x:v>
      </x:c>
      <x:c r="E32" s="7" t="str">
        <x:v>Monotonically increasing resource version used for concurrency and revision binding. Type: integer</x:v>
      </x:c>
      <x:c r="F32" s="7" t="str">
        <x:v>Sensitive</x:v>
      </x:c>
      <x:c r="G32" s="7" t="str">
        <x:v>Server generated</x:v>
      </x:c>
      <x:c r="H32" s="7" t="str">
        <x:v>Retain original source and revision</x:v>
      </x:c>
      <x:c r="I32" s="7" t="str">
        <x:v>By approved record class policy</x:v>
      </x:c>
    </x:row>
    <x:row r="33" ht="47.25" customHeight="1">
      <x:c r="A33" s="8" t="str">
        <x:v>HouseholdMembership</x:v>
      </x:c>
      <x:c r="B33" s="8" t="str">
        <x:v>environment</x:v>
      </x:c>
      <x:c r="C33" s="8" t="str">
        <x:v>text</x:v>
      </x:c>
      <x:c r="D33" s="8" t="str">
        <x:v>Required</x:v>
      </x:c>
      <x:c r="E33" s="8" t="str">
        <x:v>Synthetic, test or production origin; environments must not exchange live credentials. Allowed values: synthetic, test, production</x:v>
      </x:c>
      <x:c r="F33" s="8" t="str">
        <x:v>Sensitive</x:v>
      </x:c>
      <x:c r="G33" s="8" t="str">
        <x:v>Server generated</x:v>
      </x:c>
      <x:c r="H33" s="8" t="str">
        <x:v>Retain original source and revision</x:v>
      </x:c>
      <x:c r="I33" s="8" t="str">
        <x:v>By approved record class policy</x:v>
      </x:c>
    </x:row>
    <x:row r="34" ht="35.25" customHeight="1">
      <x:c r="A34" s="7" t="str">
        <x:v>HouseholdMembership</x:v>
      </x:c>
      <x:c r="B34" s="7" t="str">
        <x:v>created_at</x:v>
      </x:c>
      <x:c r="C34" s="7" t="str">
        <x:v>timestamptz</x:v>
      </x:c>
      <x:c r="D34" s="7" t="str">
        <x:v>Required</x:v>
      </x:c>
      <x:c r="E34" s="7" t="str">
        <x:v>Server timestamp at original resource creation. Format: date-time</x:v>
      </x:c>
      <x:c r="F34" s="7" t="str">
        <x:v>Sensitive</x:v>
      </x:c>
      <x:c r="G34" s="7" t="str">
        <x:v>Server generated</x:v>
      </x:c>
      <x:c r="H34" s="7" t="str">
        <x:v>Retain original source and revision</x:v>
      </x:c>
      <x:c r="I34" s="7" t="str">
        <x:v>By approved record class policy</x:v>
      </x:c>
    </x:row>
    <x:row r="35" ht="35.25" customHeight="1">
      <x:c r="A35" s="8" t="str">
        <x:v>HouseholdMembership</x:v>
      </x:c>
      <x:c r="B35" s="8" t="str">
        <x:v>updated_at</x:v>
      </x:c>
      <x:c r="C35" s="8" t="str">
        <x:v>timestamptz</x:v>
      </x:c>
      <x:c r="D35" s="8" t="str">
        <x:v>Required</x:v>
      </x:c>
      <x:c r="E35" s="8" t="str">
        <x:v>Server timestamp at the latest current-pointer or lifecycle change. Format: date-time</x:v>
      </x:c>
      <x:c r="F35" s="8" t="str">
        <x:v>Sensitive</x:v>
      </x:c>
      <x:c r="G35" s="8" t="str">
        <x:v>Server generated</x:v>
      </x:c>
      <x:c r="H35" s="8" t="str">
        <x:v>Retain original source and revision</x:v>
      </x:c>
      <x:c r="I35" s="8" t="str">
        <x:v>By approved record class policy</x:v>
      </x:c>
    </x:row>
    <x:row r="36" ht="35.25" customHeight="1">
      <x:c r="A36" s="7" t="str">
        <x:v>HouseholdMembership</x:v>
      </x:c>
      <x:c r="B36" s="7" t="str">
        <x:v>person_id</x:v>
      </x:c>
      <x:c r="C36" s="7" t="str">
        <x:v>uuid</x:v>
      </x:c>
      <x:c r="D36" s="7" t="str">
        <x:v>Required</x:v>
      </x:c>
      <x:c r="E36" s="7" t="str">
        <x:v>Subject person reference; must agree with the encounter and action context. Format: uuid</x:v>
      </x:c>
      <x:c r="F36" s="7" t="str">
        <x:v>Sensitive</x:v>
      </x:c>
      <x:c r="G36" s="7" t="str">
        <x:v>Authorised actor or verified source</x:v>
      </x:c>
      <x:c r="H36" s="7" t="str">
        <x:v>Retain original source and revision</x:v>
      </x:c>
      <x:c r="I36" s="7" t="str">
        <x:v>By approved record class policy</x:v>
      </x:c>
    </x:row>
    <x:row r="37" ht="35.25" customHeight="1">
      <x:c r="A37" s="8" t="str">
        <x:v>HouseholdMembership</x:v>
      </x:c>
      <x:c r="B37" s="8" t="str">
        <x:v>household_id</x:v>
      </x:c>
      <x:c r="C37" s="8" t="str">
        <x:v>uuid</x:v>
      </x:c>
      <x:c r="D37" s="8" t="str">
        <x:v>Required</x:v>
      </x:c>
      <x:c r="E37" s="8" t="str">
        <x:v>Household relationship reference, not a shared access grant. Format: uuid</x:v>
      </x:c>
      <x:c r="F37" s="8" t="str">
        <x:v>Sensitive</x:v>
      </x:c>
      <x:c r="G37" s="8" t="str">
        <x:v>Authorised actor or verified source</x:v>
      </x:c>
      <x:c r="H37" s="8" t="str">
        <x:v>Retain original source and revision</x:v>
      </x:c>
      <x:c r="I37" s="8" t="str">
        <x:v>By approved record class policy</x:v>
      </x:c>
    </x:row>
    <x:row r="38" ht="35.25" customHeight="1">
      <x:c r="A38" s="7" t="str">
        <x:v>HouseholdMembership</x:v>
      </x:c>
      <x:c r="B38" s="7" t="str">
        <x:v>relationship</x:v>
      </x:c>
      <x:c r="C38" s="7" t="str">
        <x:v>text</x:v>
      </x:c>
      <x:c r="D38" s="7" t="str">
        <x:v>Required</x:v>
      </x:c>
      <x:c r="E38" s="7" t="str">
        <x:v>Declared household relationship; proxy authority remains separate. Type: string</x:v>
      </x:c>
      <x:c r="F38" s="7" t="str">
        <x:v>Sensitive</x:v>
      </x:c>
      <x:c r="G38" s="7" t="str">
        <x:v>Authorised actor or verified source</x:v>
      </x:c>
      <x:c r="H38" s="7" t="str">
        <x:v>Retain original source and revision</x:v>
      </x:c>
      <x:c r="I38" s="7" t="str">
        <x:v>By approved record class policy</x:v>
      </x:c>
    </x:row>
    <x:row r="39" ht="35.25" customHeight="1">
      <x:c r="A39" s="8" t="str">
        <x:v>HouseholdMembership</x:v>
      </x:c>
      <x:c r="B39" s="8" t="str">
        <x:v>effective_from</x:v>
      </x:c>
      <x:c r="C39" s="8" t="str">
        <x:v>timestamptz</x:v>
      </x:c>
      <x:c r="D39" s="8" t="str">
        <x:v>Required</x:v>
      </x:c>
      <x:c r="E39" s="8" t="str">
        <x:v>Time from which this relationship or configuration is applicable. Format: date-time</x:v>
      </x:c>
      <x:c r="F39" s="8" t="str">
        <x:v>Sensitive</x:v>
      </x:c>
      <x:c r="G39" s="8" t="str">
        <x:v>Authorised actor or verified source</x:v>
      </x:c>
      <x:c r="H39" s="8" t="str">
        <x:v>Retain original source and revision</x:v>
      </x:c>
      <x:c r="I39" s="8" t="str">
        <x:v>By approved record class policy</x:v>
      </x:c>
    </x:row>
    <x:row r="40" ht="35.25" customHeight="1">
      <x:c r="A40" s="7" t="str">
        <x:v>HouseholdMembership</x:v>
      </x:c>
      <x:c r="B40" s="7" t="str">
        <x:v>effective_to</x:v>
      </x:c>
      <x:c r="C40" s="7" t="str">
        <x:v>timestamptz</x:v>
      </x:c>
      <x:c r="D40" s="7" t="str">
        <x:v>Optional</x:v>
      </x:c>
      <x:c r="E40" s="7" t="str">
        <x:v>Time at which applicability ends, when known. Format: date-time</x:v>
      </x:c>
      <x:c r="F40" s="7" t="str">
        <x:v>Sensitive</x:v>
      </x:c>
      <x:c r="G40" s="7" t="str">
        <x:v>Authorised actor or verified source</x:v>
      </x:c>
      <x:c r="H40" s="7" t="str">
        <x:v>Retain original source and revision</x:v>
      </x:c>
      <x:c r="I40" s="7" t="str">
        <x:v>By approved record class policy</x:v>
      </x:c>
    </x:row>
    <x:row r="41" ht="35.25" customHeight="1">
      <x:c r="A41" s="8" t="str">
        <x:v>HouseholdMembership</x:v>
      </x:c>
      <x:c r="B41" s="8" t="str">
        <x:v>proxy_authority_id</x:v>
      </x:c>
      <x:c r="C41" s="8" t="str">
        <x:v>uuid</x:v>
      </x:c>
      <x:c r="D41" s="8" t="str">
        <x:v>Optional</x:v>
      </x:c>
      <x:c r="E41" s="8" t="str">
        <x:v>Separately verified authority permitting a proxy to act. Format: uuid</x:v>
      </x:c>
      <x:c r="F41" s="8" t="str">
        <x:v>Sensitive</x:v>
      </x:c>
      <x:c r="G41" s="8" t="str">
        <x:v>Authorised actor or verified source</x:v>
      </x:c>
      <x:c r="H41" s="8" t="str">
        <x:v>Retain original source and revision</x:v>
      </x:c>
      <x:c r="I41" s="8" t="str">
        <x:v>By approved record class policy</x:v>
      </x:c>
    </x:row>
    <x:row r="42" ht="35.25" customHeight="1">
      <x:c r="A42" s="7" t="str">
        <x:v>Encounter</x:v>
      </x:c>
      <x:c r="B42" s="7" t="str">
        <x:v>id</x:v>
      </x:c>
      <x:c r="C42" s="7" t="str">
        <x:v>uuid</x:v>
      </x:c>
      <x:c r="D42" s="7" t="str">
        <x:v>Required</x:v>
      </x:c>
      <x:c r="E42" s="7" t="str">
        <x:v>Stable platform resource identifier, independent of external patient identifiers. Format: uuid</x:v>
      </x:c>
      <x:c r="F42" s="7" t="str">
        <x:v>Sensitive</x:v>
      </x:c>
      <x:c r="G42" s="7" t="str">
        <x:v>Server generated</x:v>
      </x:c>
      <x:c r="H42" s="7" t="str">
        <x:v>Retain original source and revision</x:v>
      </x:c>
      <x:c r="I42" s="7" t="str">
        <x:v>By approved record class policy</x:v>
      </x:c>
    </x:row>
    <x:row r="43" ht="35.25" customHeight="1">
      <x:c r="A43" s="8" t="str">
        <x:v>Encounter</x:v>
      </x:c>
      <x:c r="B43" s="8" t="str">
        <x:v>tenant_id</x:v>
      </x:c>
      <x:c r="C43" s="8" t="str">
        <x:v>uuid</x:v>
      </x:c>
      <x:c r="D43" s="8" t="str">
        <x:v>Required</x:v>
      </x:c>
      <x:c r="E43" s="8" t="str">
        <x:v>Owning deployment boundary derived from verified server context. Format: uuid</x:v>
      </x:c>
      <x:c r="F43" s="8" t="str">
        <x:v>Sensitive</x:v>
      </x:c>
      <x:c r="G43" s="8" t="str">
        <x:v>Server generated</x:v>
      </x:c>
      <x:c r="H43" s="8" t="str">
        <x:v>Retain original source and revision</x:v>
      </x:c>
      <x:c r="I43" s="8" t="str">
        <x:v>By approved record class policy</x:v>
      </x:c>
    </x:row>
    <x:row r="44" ht="35.25" customHeight="1">
      <x:c r="A44" s="7" t="str">
        <x:v>Encounter</x:v>
      </x:c>
      <x:c r="B44" s="7" t="str">
        <x:v>version</x:v>
      </x:c>
      <x:c r="C44" s="7" t="str">
        <x:v>bigint</x:v>
      </x:c>
      <x:c r="D44" s="7" t="str">
        <x:v>Required</x:v>
      </x:c>
      <x:c r="E44" s="7" t="str">
        <x:v>Monotonically increasing resource version used for concurrency and revision binding. Type: integer</x:v>
      </x:c>
      <x:c r="F44" s="7" t="str">
        <x:v>Sensitive</x:v>
      </x:c>
      <x:c r="G44" s="7" t="str">
        <x:v>Server generated</x:v>
      </x:c>
      <x:c r="H44" s="7" t="str">
        <x:v>Retain original source and revision</x:v>
      </x:c>
      <x:c r="I44" s="7" t="str">
        <x:v>By approved record class policy</x:v>
      </x:c>
    </x:row>
    <x:row r="45" ht="47.25" customHeight="1">
      <x:c r="A45" s="8" t="str">
        <x:v>Encounter</x:v>
      </x:c>
      <x:c r="B45" s="8" t="str">
        <x:v>environment</x:v>
      </x:c>
      <x:c r="C45" s="8" t="str">
        <x:v>text</x:v>
      </x:c>
      <x:c r="D45" s="8" t="str">
        <x:v>Required</x:v>
      </x:c>
      <x:c r="E45" s="8" t="str">
        <x:v>Synthetic, test or production origin; environments must not exchange live credentials. Allowed values: synthetic, test, production</x:v>
      </x:c>
      <x:c r="F45" s="8" t="str">
        <x:v>Sensitive</x:v>
      </x:c>
      <x:c r="G45" s="8" t="str">
        <x:v>Server generated</x:v>
      </x:c>
      <x:c r="H45" s="8" t="str">
        <x:v>Retain original source and revision</x:v>
      </x:c>
      <x:c r="I45" s="8" t="str">
        <x:v>By approved record class policy</x:v>
      </x:c>
    </x:row>
    <x:row r="46" ht="35.25" customHeight="1">
      <x:c r="A46" s="7" t="str">
        <x:v>Encounter</x:v>
      </x:c>
      <x:c r="B46" s="7" t="str">
        <x:v>created_at</x:v>
      </x:c>
      <x:c r="C46" s="7" t="str">
        <x:v>timestamptz</x:v>
      </x:c>
      <x:c r="D46" s="7" t="str">
        <x:v>Required</x:v>
      </x:c>
      <x:c r="E46" s="7" t="str">
        <x:v>Server timestamp at original resource creation. Format: date-time</x:v>
      </x:c>
      <x:c r="F46" s="7" t="str">
        <x:v>Sensitive</x:v>
      </x:c>
      <x:c r="G46" s="7" t="str">
        <x:v>Server generated</x:v>
      </x:c>
      <x:c r="H46" s="7" t="str">
        <x:v>Retain original source and revision</x:v>
      </x:c>
      <x:c r="I46" s="7" t="str">
        <x:v>By approved record class policy</x:v>
      </x:c>
    </x:row>
    <x:row r="47" ht="35.25" customHeight="1">
      <x:c r="A47" s="8" t="str">
        <x:v>Encounter</x:v>
      </x:c>
      <x:c r="B47" s="8" t="str">
        <x:v>updated_at</x:v>
      </x:c>
      <x:c r="C47" s="8" t="str">
        <x:v>timestamptz</x:v>
      </x:c>
      <x:c r="D47" s="8" t="str">
        <x:v>Required</x:v>
      </x:c>
      <x:c r="E47" s="8" t="str">
        <x:v>Server timestamp at the latest current-pointer or lifecycle change. Format: date-time</x:v>
      </x:c>
      <x:c r="F47" s="8" t="str">
        <x:v>Sensitive</x:v>
      </x:c>
      <x:c r="G47" s="8" t="str">
        <x:v>Server generated</x:v>
      </x:c>
      <x:c r="H47" s="8" t="str">
        <x:v>Retain original source and revision</x:v>
      </x:c>
      <x:c r="I47" s="8" t="str">
        <x:v>By approved record class policy</x:v>
      </x:c>
    </x:row>
    <x:row r="48" ht="35.25" customHeight="1">
      <x:c r="A48" s="7" t="str">
        <x:v>Encounter</x:v>
      </x:c>
      <x:c r="B48" s="7" t="str">
        <x:v>person_id</x:v>
      </x:c>
      <x:c r="C48" s="7" t="str">
        <x:v>uuid</x:v>
      </x:c>
      <x:c r="D48" s="7" t="str">
        <x:v>Required</x:v>
      </x:c>
      <x:c r="E48" s="7" t="str">
        <x:v>Subject person reference; must agree with the encounter and action context. Format: uuid</x:v>
      </x:c>
      <x:c r="F48" s="7" t="str">
        <x:v>Sensitive</x:v>
      </x:c>
      <x:c r="G48" s="7" t="str">
        <x:v>Authorised actor or verified source</x:v>
      </x:c>
      <x:c r="H48" s="7" t="str">
        <x:v>Retain original source and revision</x:v>
      </x:c>
      <x:c r="I48" s="7" t="str">
        <x:v>By approved record class policy</x:v>
      </x:c>
    </x:row>
    <x:row r="49" ht="35.25" customHeight="1">
      <x:c r="A49" s="8" t="str">
        <x:v>Encounter</x:v>
      </x:c>
      <x:c r="B49" s="8" t="str">
        <x:v>programme_ids</x:v>
      </x:c>
      <x:c r="C49" s="8" t="str">
        <x:v>jsonb</x:v>
      </x:c>
      <x:c r="D49" s="8" t="str">
        <x:v>Required</x:v>
      </x:c>
      <x:c r="E49" s="8" t="str">
        <x:v>Programme identifiers contributing to the encounter or workflow. Type: array</x:v>
      </x:c>
      <x:c r="F49" s="8" t="str">
        <x:v>Sensitive</x:v>
      </x:c>
      <x:c r="G49" s="8" t="str">
        <x:v>Authorised actor or verified source</x:v>
      </x:c>
      <x:c r="H49" s="8" t="str">
        <x:v>Retain original source and revision</x:v>
      </x:c>
      <x:c r="I49" s="8" t="str">
        <x:v>By approved record class policy</x:v>
      </x:c>
    </x:row>
    <x:row r="50" ht="35.25" customHeight="1">
      <x:c r="A50" s="7" t="str">
        <x:v>Encounter</x:v>
      </x:c>
      <x:c r="B50" s="7" t="str">
        <x:v>episode_ref</x:v>
      </x:c>
      <x:c r="C50" s="7" t="str">
        <x:v>text</x:v>
      </x:c>
      <x:c r="D50" s="7" t="str">
        <x:v>Optional</x:v>
      </x:c>
      <x:c r="E50" s="7" t="str">
        <x:v>Source-linked episode such as a pregnancy; must preserve historical context. Type: string</x:v>
      </x:c>
      <x:c r="F50" s="7" t="str">
        <x:v>Sensitive</x:v>
      </x:c>
      <x:c r="G50" s="7" t="str">
        <x:v>Authorised actor or verified source</x:v>
      </x:c>
      <x:c r="H50" s="7" t="str">
        <x:v>Retain original source and revision</x:v>
      </x:c>
      <x:c r="I50" s="7" t="str">
        <x:v>By approved record class policy</x:v>
      </x:c>
    </x:row>
    <x:row r="51" ht="30" customHeight="1">
      <x:c r="A51" s="8" t="str">
        <x:v>Encounter</x:v>
      </x:c>
      <x:c r="B51" s="8" t="str">
        <x:v>state</x:v>
      </x:c>
      <x:c r="C51" s="8" t="str">
        <x:v>text</x:v>
      </x:c>
      <x:c r="D51" s="8" t="str">
        <x:v>Required</x:v>
      </x:c>
      <x:c r="E51" s="8" t="str">
        <x:v>Allowed values: draft, confirmed, void</x:v>
      </x:c>
      <x:c r="F51" s="8" t="str">
        <x:v>Sensitive</x:v>
      </x:c>
      <x:c r="G51" s="8" t="str">
        <x:v>Authorised actor or verified source</x:v>
      </x:c>
      <x:c r="H51" s="8" t="str">
        <x:v>Retain original source and revision</x:v>
      </x:c>
      <x:c r="I51" s="8" t="str">
        <x:v>By approved record class policy</x:v>
      </x:c>
    </x:row>
    <x:row r="52" ht="35.25" customHeight="1">
      <x:c r="A52" s="7" t="str">
        <x:v>Encounter</x:v>
      </x:c>
      <x:c r="B52" s="7" t="str">
        <x:v>started_at</x:v>
      </x:c>
      <x:c r="C52" s="7" t="str">
        <x:v>timestamptz</x:v>
      </x:c>
      <x:c r="D52" s="7" t="str">
        <x:v>Required</x:v>
      </x:c>
      <x:c r="E52" s="7" t="str">
        <x:v>Actual encounter start time with an explicit timezone offset. Format: date-time</x:v>
      </x:c>
      <x:c r="F52" s="7" t="str">
        <x:v>Sensitive</x:v>
      </x:c>
      <x:c r="G52" s="7" t="str">
        <x:v>Authorised actor or verified source</x:v>
      </x:c>
      <x:c r="H52" s="7" t="str">
        <x:v>Retain original source and revision</x:v>
      </x:c>
      <x:c r="I52" s="7" t="str">
        <x:v>By approved record class policy</x:v>
      </x:c>
    </x:row>
    <x:row r="53" ht="35.25" customHeight="1">
      <x:c r="A53" s="8" t="str">
        <x:v>Encounter</x:v>
      </x:c>
      <x:c r="B53" s="8" t="str">
        <x:v>confirmed_at</x:v>
      </x:c>
      <x:c r="C53" s="8" t="str">
        <x:v>timestamptz</x:v>
      </x:c>
      <x:c r="D53" s="8" t="str">
        <x:v>Optional</x:v>
      </x:c>
      <x:c r="E53" s="8" t="str">
        <x:v>Time the exact encounter snapshot was reviewed and confirmed. Format: date-time</x:v>
      </x:c>
      <x:c r="F53" s="8" t="str">
        <x:v>Sensitive</x:v>
      </x:c>
      <x:c r="G53" s="8" t="str">
        <x:v>Authorised actor or verified source</x:v>
      </x:c>
      <x:c r="H53" s="8" t="str">
        <x:v>Retain original source and revision</x:v>
      </x:c>
      <x:c r="I53" s="8" t="str">
        <x:v>By approved record class policy</x:v>
      </x:c>
    </x:row>
    <x:row r="54" ht="35.25" customHeight="1">
      <x:c r="A54" s="7" t="str">
        <x:v>Encounter</x:v>
      </x:c>
      <x:c r="B54" s="7" t="str">
        <x:v>confirmed_by</x:v>
      </x:c>
      <x:c r="C54" s="7" t="str">
        <x:v>uuid</x:v>
      </x:c>
      <x:c r="D54" s="7" t="str">
        <x:v>Optional</x:v>
      </x:c>
      <x:c r="E54" s="7" t="str">
        <x:v>Verified principal who confirmed the encounter snapshot. Format: uuid</x:v>
      </x:c>
      <x:c r="F54" s="7" t="str">
        <x:v>Sensitive</x:v>
      </x:c>
      <x:c r="G54" s="7" t="str">
        <x:v>Authorised actor or verified source</x:v>
      </x:c>
      <x:c r="H54" s="7" t="str">
        <x:v>Retain original source and revision</x:v>
      </x:c>
      <x:c r="I54" s="7" t="str">
        <x:v>By approved record class policy</x:v>
      </x:c>
    </x:row>
    <x:row r="55" ht="35.25" customHeight="1">
      <x:c r="A55" s="8" t="str">
        <x:v>Encounter</x:v>
      </x:c>
      <x:c r="B55" s="8" t="str">
        <x:v>patient_context_hash</x:v>
      </x:c>
      <x:c r="C55" s="8" t="str">
        <x:v>text</x:v>
      </x:c>
      <x:c r="D55" s="8" t="str">
        <x:v>Required</x:v>
      </x:c>
      <x:c r="E55" s="8" t="str">
        <x:v>Digest binding selected person and encounter context to the action. Type: string</x:v>
      </x:c>
      <x:c r="F55" s="8" t="str">
        <x:v>Sensitive</x:v>
      </x:c>
      <x:c r="G55" s="8" t="str">
        <x:v>Authorised actor or verified source</x:v>
      </x:c>
      <x:c r="H55" s="8" t="str">
        <x:v>Retain original source and revision</x:v>
      </x:c>
      <x:c r="I55" s="8" t="str">
        <x:v>By approved record class policy</x:v>
      </x:c>
    </x:row>
    <x:row r="56" ht="35.25" customHeight="1">
      <x:c r="A56" s="7" t="str">
        <x:v>Observation</x:v>
      </x:c>
      <x:c r="B56" s="7" t="str">
        <x:v>id</x:v>
      </x:c>
      <x:c r="C56" s="7" t="str">
        <x:v>uuid</x:v>
      </x:c>
      <x:c r="D56" s="7" t="str">
        <x:v>Required</x:v>
      </x:c>
      <x:c r="E56" s="7" t="str">
        <x:v>Stable platform resource identifier, independent of external patient identifiers. Format: uuid</x:v>
      </x:c>
      <x:c r="F56" s="7" t="str">
        <x:v>Sensitive</x:v>
      </x:c>
      <x:c r="G56" s="7" t="str">
        <x:v>Server generated</x:v>
      </x:c>
      <x:c r="H56" s="7" t="str">
        <x:v>Retain original source and revision</x:v>
      </x:c>
      <x:c r="I56" s="7" t="str">
        <x:v>By approved record class policy</x:v>
      </x:c>
    </x:row>
    <x:row r="57" ht="35.25" customHeight="1">
      <x:c r="A57" s="8" t="str">
        <x:v>Observation</x:v>
      </x:c>
      <x:c r="B57" s="8" t="str">
        <x:v>tenant_id</x:v>
      </x:c>
      <x:c r="C57" s="8" t="str">
        <x:v>uuid</x:v>
      </x:c>
      <x:c r="D57" s="8" t="str">
        <x:v>Required</x:v>
      </x:c>
      <x:c r="E57" s="8" t="str">
        <x:v>Owning deployment boundary derived from verified server context. Format: uuid</x:v>
      </x:c>
      <x:c r="F57" s="8" t="str">
        <x:v>Sensitive</x:v>
      </x:c>
      <x:c r="G57" s="8" t="str">
        <x:v>Server generated</x:v>
      </x:c>
      <x:c r="H57" s="8" t="str">
        <x:v>Retain original source and revision</x:v>
      </x:c>
      <x:c r="I57" s="8" t="str">
        <x:v>By approved record class policy</x:v>
      </x:c>
    </x:row>
    <x:row r="58" ht="35.25" customHeight="1">
      <x:c r="A58" s="7" t="str">
        <x:v>Observation</x:v>
      </x:c>
      <x:c r="B58" s="7" t="str">
        <x:v>version</x:v>
      </x:c>
      <x:c r="C58" s="7" t="str">
        <x:v>bigint</x:v>
      </x:c>
      <x:c r="D58" s="7" t="str">
        <x:v>Required</x:v>
      </x:c>
      <x:c r="E58" s="7" t="str">
        <x:v>Monotonically increasing resource version used for concurrency and revision binding. Type: integer</x:v>
      </x:c>
      <x:c r="F58" s="7" t="str">
        <x:v>Sensitive</x:v>
      </x:c>
      <x:c r="G58" s="7" t="str">
        <x:v>Server generated</x:v>
      </x:c>
      <x:c r="H58" s="7" t="str">
        <x:v>Retain original source and revision</x:v>
      </x:c>
      <x:c r="I58" s="7" t="str">
        <x:v>By approved record class policy</x:v>
      </x:c>
    </x:row>
    <x:row r="59" ht="47.25" customHeight="1">
      <x:c r="A59" s="8" t="str">
        <x:v>Observation</x:v>
      </x:c>
      <x:c r="B59" s="8" t="str">
        <x:v>environment</x:v>
      </x:c>
      <x:c r="C59" s="8" t="str">
        <x:v>text</x:v>
      </x:c>
      <x:c r="D59" s="8" t="str">
        <x:v>Required</x:v>
      </x:c>
      <x:c r="E59" s="8" t="str">
        <x:v>Synthetic, test or production origin; environments must not exchange live credentials. Allowed values: synthetic, test, production</x:v>
      </x:c>
      <x:c r="F59" s="8" t="str">
        <x:v>Sensitive</x:v>
      </x:c>
      <x:c r="G59" s="8" t="str">
        <x:v>Server generated</x:v>
      </x:c>
      <x:c r="H59" s="8" t="str">
        <x:v>Retain original source and revision</x:v>
      </x:c>
      <x:c r="I59" s="8" t="str">
        <x:v>By approved record class policy</x:v>
      </x:c>
    </x:row>
    <x:row r="60" ht="35.25" customHeight="1">
      <x:c r="A60" s="7" t="str">
        <x:v>Observation</x:v>
      </x:c>
      <x:c r="B60" s="7" t="str">
        <x:v>created_at</x:v>
      </x:c>
      <x:c r="C60" s="7" t="str">
        <x:v>timestamptz</x:v>
      </x:c>
      <x:c r="D60" s="7" t="str">
        <x:v>Required</x:v>
      </x:c>
      <x:c r="E60" s="7" t="str">
        <x:v>Server timestamp at original resource creation. Format: date-time</x:v>
      </x:c>
      <x:c r="F60" s="7" t="str">
        <x:v>Sensitive</x:v>
      </x:c>
      <x:c r="G60" s="7" t="str">
        <x:v>Server generated</x:v>
      </x:c>
      <x:c r="H60" s="7" t="str">
        <x:v>Retain original source and revision</x:v>
      </x:c>
      <x:c r="I60" s="7" t="str">
        <x:v>By approved record class policy</x:v>
      </x:c>
    </x:row>
    <x:row r="61" ht="35.25" customHeight="1">
      <x:c r="A61" s="8" t="str">
        <x:v>Observation</x:v>
      </x:c>
      <x:c r="B61" s="8" t="str">
        <x:v>updated_at</x:v>
      </x:c>
      <x:c r="C61" s="8" t="str">
        <x:v>timestamptz</x:v>
      </x:c>
      <x:c r="D61" s="8" t="str">
        <x:v>Required</x:v>
      </x:c>
      <x:c r="E61" s="8" t="str">
        <x:v>Server timestamp at the latest current-pointer or lifecycle change. Format: date-time</x:v>
      </x:c>
      <x:c r="F61" s="8" t="str">
        <x:v>Sensitive</x:v>
      </x:c>
      <x:c r="G61" s="8" t="str">
        <x:v>Server generated</x:v>
      </x:c>
      <x:c r="H61" s="8" t="str">
        <x:v>Retain original source and revision</x:v>
      </x:c>
      <x:c r="I61" s="8" t="str">
        <x:v>By approved record class policy</x:v>
      </x:c>
    </x:row>
    <x:row r="62" ht="35.25" customHeight="1">
      <x:c r="A62" s="7" t="str">
        <x:v>Observation</x:v>
      </x:c>
      <x:c r="B62" s="7" t="str">
        <x:v>person_id</x:v>
      </x:c>
      <x:c r="C62" s="7" t="str">
        <x:v>uuid</x:v>
      </x:c>
      <x:c r="D62" s="7" t="str">
        <x:v>Required</x:v>
      </x:c>
      <x:c r="E62" s="7" t="str">
        <x:v>Subject person reference; must agree with the encounter and action context. Format: uuid</x:v>
      </x:c>
      <x:c r="F62" s="7" t="str">
        <x:v>Sensitive</x:v>
      </x:c>
      <x:c r="G62" s="7" t="str">
        <x:v>Authorised actor or verified source</x:v>
      </x:c>
      <x:c r="H62" s="7" t="str">
        <x:v>Retain original source and revision</x:v>
      </x:c>
      <x:c r="I62" s="7" t="str">
        <x:v>By approved record class policy</x:v>
      </x:c>
    </x:row>
    <x:row r="63" ht="35.25" customHeight="1">
      <x:c r="A63" s="8" t="str">
        <x:v>Observation</x:v>
      </x:c>
      <x:c r="B63" s="8" t="str">
        <x:v>encounter_id</x:v>
      </x:c>
      <x:c r="C63" s="8" t="str">
        <x:v>uuid</x:v>
      </x:c>
      <x:c r="D63" s="8" t="str">
        <x:v>Required</x:v>
      </x:c>
      <x:c r="E63" s="8" t="str">
        <x:v>Single-person encounter to which this resource belongs. Format: uuid</x:v>
      </x:c>
      <x:c r="F63" s="8" t="str">
        <x:v>Sensitive</x:v>
      </x:c>
      <x:c r="G63" s="8" t="str">
        <x:v>Authorised actor or verified source</x:v>
      </x:c>
      <x:c r="H63" s="8" t="str">
        <x:v>Retain original source and revision</x:v>
      </x:c>
      <x:c r="I63" s="8" t="str">
        <x:v>By approved record class policy</x:v>
      </x:c>
    </x:row>
    <x:row r="64" ht="35.25" customHeight="1">
      <x:c r="A64" s="7" t="str">
        <x:v>Observation</x:v>
      </x:c>
      <x:c r="B64" s="7" t="str">
        <x:v>concept_code</x:v>
      </x:c>
      <x:c r="C64" s="7" t="str">
        <x:v>text</x:v>
      </x:c>
      <x:c r="D64" s="7" t="str">
        <x:v>Required</x:v>
      </x:c>
      <x:c r="E64" s="7" t="str">
        <x:v>Clinical or operational concept in the declared coding system. Type: string</x:v>
      </x:c>
      <x:c r="F64" s="7" t="str">
        <x:v>Sensitive</x:v>
      </x:c>
      <x:c r="G64" s="7" t="str">
        <x:v>Authorised actor or verified source</x:v>
      </x:c>
      <x:c r="H64" s="7" t="str">
        <x:v>Retain original source and revision</x:v>
      </x:c>
      <x:c r="I64" s="7" t="str">
        <x:v>By approved record class policy</x:v>
      </x:c>
    </x:row>
    <x:row r="65" ht="35.25" customHeight="1">
      <x:c r="A65" s="8" t="str">
        <x:v>Observation</x:v>
      </x:c>
      <x:c r="B65" s="8" t="str">
        <x:v>concept_system</x:v>
      </x:c>
      <x:c r="C65" s="8" t="str">
        <x:v>text</x:v>
      </x:c>
      <x:c r="D65" s="8" t="str">
        <x:v>Required</x:v>
      </x:c>
      <x:c r="E65" s="8" t="str">
        <x:v>Namespace and pinned terminology context for concept_code. Type: string</x:v>
      </x:c>
      <x:c r="F65" s="8" t="str">
        <x:v>Sensitive</x:v>
      </x:c>
      <x:c r="G65" s="8" t="str">
        <x:v>Authorised actor or verified source</x:v>
      </x:c>
      <x:c r="H65" s="8" t="str">
        <x:v>Retain original source and revision</x:v>
      </x:c>
      <x:c r="I65" s="8" t="str">
        <x:v>By approved record class policy</x:v>
      </x:c>
    </x:row>
    <x:row r="66" ht="35.25" customHeight="1">
      <x:c r="A66" s="7" t="str">
        <x:v>Observation</x:v>
      </x:c>
      <x:c r="B66" s="7" t="str">
        <x:v>effective_at</x:v>
      </x:c>
      <x:c r="C66" s="7" t="str">
        <x:v>timestamptz</x:v>
      </x:c>
      <x:c r="D66" s="7" t="str">
        <x:v>Required</x:v>
      </x:c>
      <x:c r="E66" s="7" t="str">
        <x:v>When the fact was observed or applicable, distinct from upload time. Format: date-time</x:v>
      </x:c>
      <x:c r="F66" s="7" t="str">
        <x:v>Sensitive</x:v>
      </x:c>
      <x:c r="G66" s="7" t="str">
        <x:v>Authorised actor or verified source</x:v>
      </x:c>
      <x:c r="H66" s="7" t="str">
        <x:v>Retain original source and revision</x:v>
      </x:c>
      <x:c r="I66" s="7" t="str">
        <x:v>By approved record class policy</x:v>
      </x:c>
    </x:row>
    <x:row r="67" ht="30" customHeight="1">
      <x:c r="A67" s="8" t="str">
        <x:v>Observation</x:v>
      </x:c>
      <x:c r="B67" s="8" t="str">
        <x:v>source_type</x:v>
      </x:c>
      <x:c r="C67" s="8" t="str">
        <x:v>text</x:v>
      </x:c>
      <x:c r="D67" s="8" t="str">
        <x:v>Required</x:v>
      </x:c>
      <x:c r="E67" s="8" t="str">
        <x:v>Allowed values: measured, reported, imported, derived</x:v>
      </x:c>
      <x:c r="F67" s="8" t="str">
        <x:v>Sensitive</x:v>
      </x:c>
      <x:c r="G67" s="8" t="str">
        <x:v>Authorised actor or verified source</x:v>
      </x:c>
      <x:c r="H67" s="8" t="str">
        <x:v>Retain original source and revision</x:v>
      </x:c>
      <x:c r="I67" s="8" t="str">
        <x:v>By approved record class policy</x:v>
      </x:c>
    </x:row>
    <x:row r="68" ht="30" customHeight="1">
      <x:c r="A68" s="7" t="str">
        <x:v>Observation</x:v>
      </x:c>
      <x:c r="B68" s="7" t="str">
        <x:v>verification</x:v>
      </x:c>
      <x:c r="C68" s="7" t="str">
        <x:v>text</x:v>
      </x:c>
      <x:c r="D68" s="7" t="str">
        <x:v>Required</x:v>
      </x:c>
      <x:c r="E68" s="7" t="str">
        <x:v>Allowed values: draft, confirmed, disputed</x:v>
      </x:c>
      <x:c r="F68" s="7" t="str">
        <x:v>Sensitive</x:v>
      </x:c>
      <x:c r="G68" s="7" t="str">
        <x:v>Authorised actor or verified source</x:v>
      </x:c>
      <x:c r="H68" s="7" t="str">
        <x:v>Retain original source and revision</x:v>
      </x:c>
      <x:c r="I68" s="7" t="str">
        <x:v>By approved record class policy</x:v>
      </x:c>
    </x:row>
    <x:row r="69" ht="35.25" customHeight="1">
      <x:c r="A69" s="8" t="str">
        <x:v>Observation</x:v>
      </x:c>
      <x:c r="B69" s="8" t="str">
        <x:v>value</x:v>
      </x:c>
      <x:c r="C69" s="8" t="str">
        <x:v>jsonb</x:v>
      </x:c>
      <x:c r="D69" s="8" t="str">
        <x:v>Optional</x:v>
      </x:c>
      <x:c r="E69" s="8" t="str">
        <x:v>Typed clinical value with original units or coding and explicit value kind. Schema: ClinicalValue</x:v>
      </x:c>
      <x:c r="F69" s="8" t="str">
        <x:v>Sensitive</x:v>
      </x:c>
      <x:c r="G69" s="8" t="str">
        <x:v>Authorised actor or verified source</x:v>
      </x:c>
      <x:c r="H69" s="8" t="str">
        <x:v>Retain original source and revision</x:v>
      </x:c>
      <x:c r="I69" s="8" t="str">
        <x:v>By approved record class policy</x:v>
      </x:c>
    </x:row>
    <x:row r="70" ht="35.25" customHeight="1">
      <x:c r="A70" s="7" t="str">
        <x:v>Observation</x:v>
      </x:c>
      <x:c r="B70" s="7" t="str">
        <x:v>absent_reason</x:v>
      </x:c>
      <x:c r="C70" s="7" t="str">
        <x:v>text</x:v>
      </x:c>
      <x:c r="D70" s="7" t="str">
        <x:v>Optional</x:v>
      </x:c>
      <x:c r="E70" s="7" t="str">
        <x:v>Allowed values: unknown, not_asked, refused, not_applicable</x:v>
      </x:c>
      <x:c r="F70" s="7" t="str">
        <x:v>Sensitive</x:v>
      </x:c>
      <x:c r="G70" s="7" t="str">
        <x:v>Authorised actor or verified source</x:v>
      </x:c>
      <x:c r="H70" s="7" t="str">
        <x:v>Retain original source and revision</x:v>
      </x:c>
      <x:c r="I70" s="7" t="str">
        <x:v>By approved record class policy</x:v>
      </x:c>
    </x:row>
    <x:row r="71" ht="35.25" customHeight="1">
      <x:c r="A71" s="8" t="str">
        <x:v>Observation</x:v>
      </x:c>
      <x:c r="B71" s="8" t="str">
        <x:v>source_ref</x:v>
      </x:c>
      <x:c r="C71" s="8" t="str">
        <x:v>text</x:v>
      </x:c>
      <x:c r="D71" s="8" t="str">
        <x:v>Optional</x:v>
      </x:c>
      <x:c r="E71" s="8" t="str">
        <x:v>Controlled source record or media span from which the fact originated. Type: string</x:v>
      </x:c>
      <x:c r="F71" s="8" t="str">
        <x:v>Sensitive</x:v>
      </x:c>
      <x:c r="G71" s="8" t="str">
        <x:v>Authorised actor or verified source</x:v>
      </x:c>
      <x:c r="H71" s="8" t="str">
        <x:v>Retain original source and revision</x:v>
      </x:c>
      <x:c r="I71" s="8" t="str">
        <x:v>By approved record class policy</x:v>
      </x:c>
    </x:row>
    <x:row r="72" ht="35.25" customHeight="1">
      <x:c r="A72" s="7" t="str">
        <x:v>Observation</x:v>
      </x:c>
      <x:c r="B72" s="7" t="str">
        <x:v>author_id</x:v>
      </x:c>
      <x:c r="C72" s="7" t="str">
        <x:v>uuid</x:v>
      </x:c>
      <x:c r="D72" s="7" t="str">
        <x:v>Required</x:v>
      </x:c>
      <x:c r="E72" s="7" t="str">
        <x:v>Verified person or service responsible for the source observation. Format: uuid</x:v>
      </x:c>
      <x:c r="F72" s="7" t="str">
        <x:v>Sensitive</x:v>
      </x:c>
      <x:c r="G72" s="7" t="str">
        <x:v>Authorised actor or verified source</x:v>
      </x:c>
      <x:c r="H72" s="7" t="str">
        <x:v>Retain original source and revision</x:v>
      </x:c>
      <x:c r="I72" s="7" t="str">
        <x:v>By approved record class policy</x:v>
      </x:c>
    </x:row>
    <x:row r="73" ht="35.25" customHeight="1">
      <x:c r="A73" s="8" t="str">
        <x:v>Observation</x:v>
      </x:c>
      <x:c r="B73" s="8" t="str">
        <x:v>supersedes_id</x:v>
      </x:c>
      <x:c r="C73" s="8" t="str">
        <x:v>uuid</x:v>
      </x:c>
      <x:c r="D73" s="8" t="str">
        <x:v>Optional</x:v>
      </x:c>
      <x:c r="E73" s="8" t="str">
        <x:v>Prior resource or observation replaced by an attributable correction. Format: uuid</x:v>
      </x:c>
      <x:c r="F73" s="8" t="str">
        <x:v>Sensitive</x:v>
      </x:c>
      <x:c r="G73" s="8" t="str">
        <x:v>Authorised actor or verified source</x:v>
      </x:c>
      <x:c r="H73" s="8" t="str">
        <x:v>Retain original source and revision</x:v>
      </x:c>
      <x:c r="I73" s="8" t="str">
        <x:v>By approved record class policy</x:v>
      </x:c>
    </x:row>
    <x:row r="74" ht="35.25" customHeight="1">
      <x:c r="A74" s="7" t="str">
        <x:v>Conflict</x:v>
      </x:c>
      <x:c r="B74" s="7" t="str">
        <x:v>id</x:v>
      </x:c>
      <x:c r="C74" s="7" t="str">
        <x:v>uuid</x:v>
      </x:c>
      <x:c r="D74" s="7" t="str">
        <x:v>Required</x:v>
      </x:c>
      <x:c r="E74" s="7" t="str">
        <x:v>Stable platform resource identifier, independent of external patient identifiers. Format: uuid</x:v>
      </x:c>
      <x:c r="F74" s="7" t="str">
        <x:v>Sensitive</x:v>
      </x:c>
      <x:c r="G74" s="7" t="str">
        <x:v>Server generated</x:v>
      </x:c>
      <x:c r="H74" s="7" t="str">
        <x:v>Retain original source and revision</x:v>
      </x:c>
      <x:c r="I74" s="7" t="str">
        <x:v>By approved record class policy</x:v>
      </x:c>
    </x:row>
    <x:row r="75" ht="35.25" customHeight="1">
      <x:c r="A75" s="8" t="str">
        <x:v>Conflict</x:v>
      </x:c>
      <x:c r="B75" s="8" t="str">
        <x:v>tenant_id</x:v>
      </x:c>
      <x:c r="C75" s="8" t="str">
        <x:v>uuid</x:v>
      </x:c>
      <x:c r="D75" s="8" t="str">
        <x:v>Required</x:v>
      </x:c>
      <x:c r="E75" s="8" t="str">
        <x:v>Owning deployment boundary derived from verified server context. Format: uuid</x:v>
      </x:c>
      <x:c r="F75" s="8" t="str">
        <x:v>Sensitive</x:v>
      </x:c>
      <x:c r="G75" s="8" t="str">
        <x:v>Server generated</x:v>
      </x:c>
      <x:c r="H75" s="8" t="str">
        <x:v>Retain original source and revision</x:v>
      </x:c>
      <x:c r="I75" s="8" t="str">
        <x:v>By approved record class policy</x:v>
      </x:c>
    </x:row>
    <x:row r="76" ht="35.25" customHeight="1">
      <x:c r="A76" s="7" t="str">
        <x:v>Conflict</x:v>
      </x:c>
      <x:c r="B76" s="7" t="str">
        <x:v>version</x:v>
      </x:c>
      <x:c r="C76" s="7" t="str">
        <x:v>bigint</x:v>
      </x:c>
      <x:c r="D76" s="7" t="str">
        <x:v>Required</x:v>
      </x:c>
      <x:c r="E76" s="7" t="str">
        <x:v>Monotonically increasing resource version used for concurrency and revision binding. Type: integer</x:v>
      </x:c>
      <x:c r="F76" s="7" t="str">
        <x:v>Sensitive</x:v>
      </x:c>
      <x:c r="G76" s="7" t="str">
        <x:v>Server generated</x:v>
      </x:c>
      <x:c r="H76" s="7" t="str">
        <x:v>Retain original source and revision</x:v>
      </x:c>
      <x:c r="I76" s="7" t="str">
        <x:v>By approved record class policy</x:v>
      </x:c>
    </x:row>
    <x:row r="77" ht="47.25" customHeight="1">
      <x:c r="A77" s="8" t="str">
        <x:v>Conflict</x:v>
      </x:c>
      <x:c r="B77" s="8" t="str">
        <x:v>environment</x:v>
      </x:c>
      <x:c r="C77" s="8" t="str">
        <x:v>text</x:v>
      </x:c>
      <x:c r="D77" s="8" t="str">
        <x:v>Required</x:v>
      </x:c>
      <x:c r="E77" s="8" t="str">
        <x:v>Synthetic, test or production origin; environments must not exchange live credentials. Allowed values: synthetic, test, production</x:v>
      </x:c>
      <x:c r="F77" s="8" t="str">
        <x:v>Sensitive</x:v>
      </x:c>
      <x:c r="G77" s="8" t="str">
        <x:v>Server generated</x:v>
      </x:c>
      <x:c r="H77" s="8" t="str">
        <x:v>Retain original source and revision</x:v>
      </x:c>
      <x:c r="I77" s="8" t="str">
        <x:v>By approved record class policy</x:v>
      </x:c>
    </x:row>
    <x:row r="78" ht="35.25" customHeight="1">
      <x:c r="A78" s="7" t="str">
        <x:v>Conflict</x:v>
      </x:c>
      <x:c r="B78" s="7" t="str">
        <x:v>created_at</x:v>
      </x:c>
      <x:c r="C78" s="7" t="str">
        <x:v>timestamptz</x:v>
      </x:c>
      <x:c r="D78" s="7" t="str">
        <x:v>Required</x:v>
      </x:c>
      <x:c r="E78" s="7" t="str">
        <x:v>Server timestamp at original resource creation. Format: date-time</x:v>
      </x:c>
      <x:c r="F78" s="7" t="str">
        <x:v>Sensitive</x:v>
      </x:c>
      <x:c r="G78" s="7" t="str">
        <x:v>Server generated</x:v>
      </x:c>
      <x:c r="H78" s="7" t="str">
        <x:v>Retain original source and revision</x:v>
      </x:c>
      <x:c r="I78" s="7" t="str">
        <x:v>By approved record class policy</x:v>
      </x:c>
    </x:row>
    <x:row r="79" ht="35.25" customHeight="1">
      <x:c r="A79" s="8" t="str">
        <x:v>Conflict</x:v>
      </x:c>
      <x:c r="B79" s="8" t="str">
        <x:v>updated_at</x:v>
      </x:c>
      <x:c r="C79" s="8" t="str">
        <x:v>timestamptz</x:v>
      </x:c>
      <x:c r="D79" s="8" t="str">
        <x:v>Required</x:v>
      </x:c>
      <x:c r="E79" s="8" t="str">
        <x:v>Server timestamp at the latest current-pointer or lifecycle change. Format: date-time</x:v>
      </x:c>
      <x:c r="F79" s="8" t="str">
        <x:v>Sensitive</x:v>
      </x:c>
      <x:c r="G79" s="8" t="str">
        <x:v>Server generated</x:v>
      </x:c>
      <x:c r="H79" s="8" t="str">
        <x:v>Retain original source and revision</x:v>
      </x:c>
      <x:c r="I79" s="8" t="str">
        <x:v>By approved record class policy</x:v>
      </x:c>
    </x:row>
    <x:row r="80" ht="35.25" customHeight="1">
      <x:c r="A80" s="7" t="str">
        <x:v>Conflict</x:v>
      </x:c>
      <x:c r="B80" s="7" t="str">
        <x:v>resource_type</x:v>
      </x:c>
      <x:c r="C80" s="7" t="str">
        <x:v>text</x:v>
      </x:c>
      <x:c r="D80" s="7" t="str">
        <x:v>Required</x:v>
      </x:c>
      <x:c r="E80" s="7" t="str">
        <x:v>Named canonical type of the referenced subject resource. Type: string</x:v>
      </x:c>
      <x:c r="F80" s="7" t="str">
        <x:v>Sensitive</x:v>
      </x:c>
      <x:c r="G80" s="7" t="str">
        <x:v>Authorised actor or verified source</x:v>
      </x:c>
      <x:c r="H80" s="7" t="str">
        <x:v>Retain original source and revision</x:v>
      </x:c>
      <x:c r="I80" s="7" t="str">
        <x:v>By approved record class policy</x:v>
      </x:c>
    </x:row>
    <x:row r="81" ht="35.25" customHeight="1">
      <x:c r="A81" s="8" t="str">
        <x:v>Conflict</x:v>
      </x:c>
      <x:c r="B81" s="8" t="str">
        <x:v>resource_id</x:v>
      </x:c>
      <x:c r="C81" s="8" t="str">
        <x:v>uuid</x:v>
      </x:c>
      <x:c r="D81" s="8" t="str">
        <x:v>Required</x:v>
      </x:c>
      <x:c r="E81" s="8" t="str">
        <x:v>Resource identifier resolved within the owning tenant. Format: uuid</x:v>
      </x:c>
      <x:c r="F81" s="8" t="str">
        <x:v>Sensitive</x:v>
      </x:c>
      <x:c r="G81" s="8" t="str">
        <x:v>Authorised actor or verified source</x:v>
      </x:c>
      <x:c r="H81" s="8" t="str">
        <x:v>Retain original source and revision</x:v>
      </x:c>
      <x:c r="I81" s="8" t="str">
        <x:v>By approved record class policy</x:v>
      </x:c>
    </x:row>
    <x:row r="82" ht="35.25" customHeight="1">
      <x:c r="A82" s="7" t="str">
        <x:v>Conflict</x:v>
      </x:c>
      <x:c r="B82" s="7" t="str">
        <x:v>base_version</x:v>
      </x:c>
      <x:c r="C82" s="7" t="str">
        <x:v>bigint</x:v>
      </x:c>
      <x:c r="D82" s="7" t="str">
        <x:v>Required</x:v>
      </x:c>
      <x:c r="E82" s="7" t="str">
        <x:v>Version on which an edit or conflicting candidate was based. Type: integer</x:v>
      </x:c>
      <x:c r="F82" s="7" t="str">
        <x:v>Sensitive</x:v>
      </x:c>
      <x:c r="G82" s="7" t="str">
        <x:v>Authorised actor or verified source</x:v>
      </x:c>
      <x:c r="H82" s="7" t="str">
        <x:v>Retain original source and revision</x:v>
      </x:c>
      <x:c r="I82" s="7" t="str">
        <x:v>By approved record class policy</x:v>
      </x:c>
    </x:row>
    <x:row r="83" ht="35.25" customHeight="1">
      <x:c r="A83" s="8" t="str">
        <x:v>Conflict</x:v>
      </x:c>
      <x:c r="B83" s="8" t="str">
        <x:v>candidate_refs</x:v>
      </x:c>
      <x:c r="C83" s="8" t="str">
        <x:v>jsonb</x:v>
      </x:c>
      <x:c r="D83" s="8" t="str">
        <x:v>Required</x:v>
      </x:c>
      <x:c r="E83" s="8" t="str">
        <x:v>Competing candidate revisions retained for accountable review. Type: array</x:v>
      </x:c>
      <x:c r="F83" s="8" t="str">
        <x:v>Sensitive</x:v>
      </x:c>
      <x:c r="G83" s="8" t="str">
        <x:v>Authorised actor or verified source</x:v>
      </x:c>
      <x:c r="H83" s="8" t="str">
        <x:v>Retain original source and revision</x:v>
      </x:c>
      <x:c r="I83" s="8" t="str">
        <x:v>By approved record class policy</x:v>
      </x:c>
    </x:row>
    <x:row r="84" ht="30" customHeight="1">
      <x:c r="A84" s="7" t="str">
        <x:v>Conflict</x:v>
      </x:c>
      <x:c r="B84" s="7" t="str">
        <x:v>state</x:v>
      </x:c>
      <x:c r="C84" s="7" t="str">
        <x:v>text</x:v>
      </x:c>
      <x:c r="D84" s="7" t="str">
        <x:v>Required</x:v>
      </x:c>
      <x:c r="E84" s="7" t="str">
        <x:v>Allowed values: open, resolved, unresolved</x:v>
      </x:c>
      <x:c r="F84" s="7" t="str">
        <x:v>Sensitive</x:v>
      </x:c>
      <x:c r="G84" s="7" t="str">
        <x:v>Authorised actor or verified source</x:v>
      </x:c>
      <x:c r="H84" s="7" t="str">
        <x:v>Retain original source and revision</x:v>
      </x:c>
      <x:c r="I84" s="7" t="str">
        <x:v>By approved record class policy</x:v>
      </x:c>
    </x:row>
    <x:row r="85" ht="35.25" customHeight="1">
      <x:c r="A85" s="8" t="str">
        <x:v>Conflict</x:v>
      </x:c>
      <x:c r="B85" s="8" t="str">
        <x:v>resolution_ref</x:v>
      </x:c>
      <x:c r="C85" s="8" t="str">
        <x:v>text</x:v>
      </x:c>
      <x:c r="D85" s="8" t="str">
        <x:v>Optional</x:v>
      </x:c>
      <x:c r="E85" s="8" t="str">
        <x:v>Evidence of the selected correction or decision to retain distinct facts. Type: string</x:v>
      </x:c>
      <x:c r="F85" s="8" t="str">
        <x:v>Sensitive</x:v>
      </x:c>
      <x:c r="G85" s="8" t="str">
        <x:v>Authorised actor or verified source</x:v>
      </x:c>
      <x:c r="H85" s="8" t="str">
        <x:v>Retain original source and revision</x:v>
      </x:c>
      <x:c r="I85" s="8" t="str">
        <x:v>By approved record class policy</x:v>
      </x:c>
    </x:row>
    <x:row r="86" ht="35.25" customHeight="1">
      <x:c r="A86" s="7" t="str">
        <x:v>Conflict</x:v>
      </x:c>
      <x:c r="B86" s="7" t="str">
        <x:v>owner_id</x:v>
      </x:c>
      <x:c r="C86" s="7" t="str">
        <x:v>uuid</x:v>
      </x:c>
      <x:c r="D86" s="7" t="str">
        <x:v>Required</x:v>
      </x:c>
      <x:c r="E86" s="7" t="str">
        <x:v>Verified principal accountable for resolving this record. Format: uuid</x:v>
      </x:c>
      <x:c r="F86" s="7" t="str">
        <x:v>Sensitive</x:v>
      </x:c>
      <x:c r="G86" s="7" t="str">
        <x:v>Authorised actor or verified source</x:v>
      </x:c>
      <x:c r="H86" s="7" t="str">
        <x:v>Retain original source and revision</x:v>
      </x:c>
      <x:c r="I86" s="7" t="str">
        <x:v>By approved record class policy</x:v>
      </x:c>
    </x:row>
    <x:row r="87" ht="35.25" customHeight="1">
      <x:c r="A87" s="8" t="str">
        <x:v>AuthorityRecord</x:v>
      </x:c>
      <x:c r="B87" s="8" t="str">
        <x:v>id</x:v>
      </x:c>
      <x:c r="C87" s="8" t="str">
        <x:v>uuid</x:v>
      </x:c>
      <x:c r="D87" s="8" t="str">
        <x:v>Required</x:v>
      </x:c>
      <x:c r="E87" s="8" t="str">
        <x:v>Stable platform resource identifier, independent of external patient identifiers. Format: uuid</x:v>
      </x:c>
      <x:c r="F87" s="8" t="str">
        <x:v>Sensitive</x:v>
      </x:c>
      <x:c r="G87" s="8" t="str">
        <x:v>Server generated</x:v>
      </x:c>
      <x:c r="H87" s="8" t="str">
        <x:v>Retain original source and revision</x:v>
      </x:c>
      <x:c r="I87" s="8" t="str">
        <x:v>By approved record class policy</x:v>
      </x:c>
    </x:row>
    <x:row r="88" ht="35.25" customHeight="1">
      <x:c r="A88" s="7" t="str">
        <x:v>AuthorityRecord</x:v>
      </x:c>
      <x:c r="B88" s="7" t="str">
        <x:v>tenant_id</x:v>
      </x:c>
      <x:c r="C88" s="7" t="str">
        <x:v>uuid</x:v>
      </x:c>
      <x:c r="D88" s="7" t="str">
        <x:v>Required</x:v>
      </x:c>
      <x:c r="E88" s="7" t="str">
        <x:v>Owning deployment boundary derived from verified server context. Format: uuid</x:v>
      </x:c>
      <x:c r="F88" s="7" t="str">
        <x:v>Sensitive</x:v>
      </x:c>
      <x:c r="G88" s="7" t="str">
        <x:v>Server generated</x:v>
      </x:c>
      <x:c r="H88" s="7" t="str">
        <x:v>Retain original source and revision</x:v>
      </x:c>
      <x:c r="I88" s="7" t="str">
        <x:v>By approved record class policy</x:v>
      </x:c>
    </x:row>
    <x:row r="89" ht="35.25" customHeight="1">
      <x:c r="A89" s="8" t="str">
        <x:v>AuthorityRecord</x:v>
      </x:c>
      <x:c r="B89" s="8" t="str">
        <x:v>version</x:v>
      </x:c>
      <x:c r="C89" s="8" t="str">
        <x:v>bigint</x:v>
      </x:c>
      <x:c r="D89" s="8" t="str">
        <x:v>Required</x:v>
      </x:c>
      <x:c r="E89" s="8" t="str">
        <x:v>Monotonically increasing resource version used for concurrency and revision binding. Type: integer</x:v>
      </x:c>
      <x:c r="F89" s="8" t="str">
        <x:v>Sensitive</x:v>
      </x:c>
      <x:c r="G89" s="8" t="str">
        <x:v>Server generated</x:v>
      </x:c>
      <x:c r="H89" s="8" t="str">
        <x:v>Retain original source and revision</x:v>
      </x:c>
      <x:c r="I89" s="8" t="str">
        <x:v>By approved record class policy</x:v>
      </x:c>
    </x:row>
    <x:row r="90" ht="47.25" customHeight="1">
      <x:c r="A90" s="7" t="str">
        <x:v>AuthorityRecord</x:v>
      </x:c>
      <x:c r="B90" s="7" t="str">
        <x:v>environment</x:v>
      </x:c>
      <x:c r="C90" s="7" t="str">
        <x:v>text</x:v>
      </x:c>
      <x:c r="D90" s="7" t="str">
        <x:v>Required</x:v>
      </x:c>
      <x:c r="E90" s="7" t="str">
        <x:v>Synthetic, test or production origin; environments must not exchange live credentials. Allowed values: synthetic, test, production</x:v>
      </x:c>
      <x:c r="F90" s="7" t="str">
        <x:v>Sensitive</x:v>
      </x:c>
      <x:c r="G90" s="7" t="str">
        <x:v>Server generated</x:v>
      </x:c>
      <x:c r="H90" s="7" t="str">
        <x:v>Retain original source and revision</x:v>
      </x:c>
      <x:c r="I90" s="7" t="str">
        <x:v>By approved record class policy</x:v>
      </x:c>
    </x:row>
    <x:row r="91" ht="35.25" customHeight="1">
      <x:c r="A91" s="8" t="str">
        <x:v>AuthorityRecord</x:v>
      </x:c>
      <x:c r="B91" s="8" t="str">
        <x:v>created_at</x:v>
      </x:c>
      <x:c r="C91" s="8" t="str">
        <x:v>timestamptz</x:v>
      </x:c>
      <x:c r="D91" s="8" t="str">
        <x:v>Required</x:v>
      </x:c>
      <x:c r="E91" s="8" t="str">
        <x:v>Server timestamp at original resource creation. Format: date-time</x:v>
      </x:c>
      <x:c r="F91" s="8" t="str">
        <x:v>Sensitive</x:v>
      </x:c>
      <x:c r="G91" s="8" t="str">
        <x:v>Server generated</x:v>
      </x:c>
      <x:c r="H91" s="8" t="str">
        <x:v>Retain original source and revision</x:v>
      </x:c>
      <x:c r="I91" s="8" t="str">
        <x:v>By approved record class policy</x:v>
      </x:c>
    </x:row>
    <x:row r="92" ht="35.25" customHeight="1">
      <x:c r="A92" s="7" t="str">
        <x:v>AuthorityRecord</x:v>
      </x:c>
      <x:c r="B92" s="7" t="str">
        <x:v>updated_at</x:v>
      </x:c>
      <x:c r="C92" s="7" t="str">
        <x:v>timestamptz</x:v>
      </x:c>
      <x:c r="D92" s="7" t="str">
        <x:v>Required</x:v>
      </x:c>
      <x:c r="E92" s="7" t="str">
        <x:v>Server timestamp at the latest current-pointer or lifecycle change. Format: date-time</x:v>
      </x:c>
      <x:c r="F92" s="7" t="str">
        <x:v>Sensitive</x:v>
      </x:c>
      <x:c r="G92" s="7" t="str">
        <x:v>Server generated</x:v>
      </x:c>
      <x:c r="H92" s="7" t="str">
        <x:v>Retain original source and revision</x:v>
      </x:c>
      <x:c r="I92" s="7" t="str">
        <x:v>By approved record class policy</x:v>
      </x:c>
    </x:row>
    <x:row r="93" ht="35.25" customHeight="1">
      <x:c r="A93" s="8" t="str">
        <x:v>AuthorityRecord</x:v>
      </x:c>
      <x:c r="B93" s="8" t="str">
        <x:v>person_id</x:v>
      </x:c>
      <x:c r="C93" s="8" t="str">
        <x:v>uuid</x:v>
      </x:c>
      <x:c r="D93" s="8" t="str">
        <x:v>Required</x:v>
      </x:c>
      <x:c r="E93" s="8" t="str">
        <x:v>Subject person reference; must agree with the encounter and action context. Format: uuid</x:v>
      </x:c>
      <x:c r="F93" s="8" t="str">
        <x:v>Sensitive</x:v>
      </x:c>
      <x:c r="G93" s="8" t="str">
        <x:v>Authorised actor or verified source</x:v>
      </x:c>
      <x:c r="H93" s="8" t="str">
        <x:v>Retain original source and revision</x:v>
      </x:c>
      <x:c r="I93" s="8" t="str">
        <x:v>By approved record class policy</x:v>
      </x:c>
    </x:row>
    <x:row r="94" ht="35.25" customHeight="1">
      <x:c r="A94" s="7" t="str">
        <x:v>AuthorityRecord</x:v>
      </x:c>
      <x:c r="B94" s="7" t="str">
        <x:v>purpose</x:v>
      </x:c>
      <x:c r="C94" s="7" t="str">
        <x:v>text</x:v>
      </x:c>
      <x:c r="D94" s="7" t="str">
        <x:v>Required</x:v>
      </x:c>
      <x:c r="E94" s="7" t="str">
        <x:v>Specific approved purpose for processing or disclosure. Type: string</x:v>
      </x:c>
      <x:c r="F94" s="7" t="str">
        <x:v>Sensitive</x:v>
      </x:c>
      <x:c r="G94" s="7" t="str">
        <x:v>Authorised actor or verified source</x:v>
      </x:c>
      <x:c r="H94" s="7" t="str">
        <x:v>Retain original source and revision</x:v>
      </x:c>
      <x:c r="I94" s="7" t="str">
        <x:v>By approved record class policy</x:v>
      </x:c>
    </x:row>
    <x:row r="95" ht="30" customHeight="1">
      <x:c r="A95" s="8" t="str">
        <x:v>AuthorityRecord</x:v>
      </x:c>
      <x:c r="B95" s="8" t="str">
        <x:v>basis</x:v>
      </x:c>
      <x:c r="C95" s="8" t="str">
        <x:v>text</x:v>
      </x:c>
      <x:c r="D95" s="8" t="str">
        <x:v>Required</x:v>
      </x:c>
      <x:c r="E95" s="8" t="str">
        <x:v>Allowed values: consent, other_approved_basis</x:v>
      </x:c>
      <x:c r="F95" s="8" t="str">
        <x:v>Sensitive</x:v>
      </x:c>
      <x:c r="G95" s="8" t="str">
        <x:v>Authorised actor or verified source</x:v>
      </x:c>
      <x:c r="H95" s="8" t="str">
        <x:v>Retain original source and revision</x:v>
      </x:c>
      <x:c r="I95" s="8" t="str">
        <x:v>By approved record class policy</x:v>
      </x:c>
    </x:row>
    <x:row r="96" ht="35.25" customHeight="1">
      <x:c r="A96" s="7" t="str">
        <x:v>AuthorityRecord</x:v>
      </x:c>
      <x:c r="B96" s="7" t="str">
        <x:v>basis_ref</x:v>
      </x:c>
      <x:c r="C96" s="7" t="str">
        <x:v>text</x:v>
      </x:c>
      <x:c r="D96" s="7" t="str">
        <x:v>Required</x:v>
      </x:c>
      <x:c r="E96" s="7" t="str">
        <x:v>Evidence supporting the processing basis; a client assertion is insufficient. Type: string</x:v>
      </x:c>
      <x:c r="F96" s="7" t="str">
        <x:v>Sensitive</x:v>
      </x:c>
      <x:c r="G96" s="7" t="str">
        <x:v>Authorised actor or verified source</x:v>
      </x:c>
      <x:c r="H96" s="7" t="str">
        <x:v>Retain original source and revision</x:v>
      </x:c>
      <x:c r="I96" s="7" t="str">
        <x:v>By approved record class policy</x:v>
      </x:c>
    </x:row>
    <x:row r="97" ht="35.25" customHeight="1">
      <x:c r="A97" s="8" t="str">
        <x:v>AuthorityRecord</x:v>
      </x:c>
      <x:c r="B97" s="8" t="str">
        <x:v>recipient_ids</x:v>
      </x:c>
      <x:c r="C97" s="8" t="str">
        <x:v>jsonb</x:v>
      </x:c>
      <x:c r="D97" s="8" t="str">
        <x:v>Required</x:v>
      </x:c>
      <x:c r="E97" s="8" t="str">
        <x:v>Exact permitted recipients; changes require renewed policy review. Type: array</x:v>
      </x:c>
      <x:c r="F97" s="8" t="str">
        <x:v>Sensitive</x:v>
      </x:c>
      <x:c r="G97" s="8" t="str">
        <x:v>Authorised actor or verified source</x:v>
      </x:c>
      <x:c r="H97" s="8" t="str">
        <x:v>Retain original source and revision</x:v>
      </x:c>
      <x:c r="I97" s="8" t="str">
        <x:v>By approved record class policy</x:v>
      </x:c>
    </x:row>
    <x:row r="98" ht="35.25" customHeight="1">
      <x:c r="A98" s="7" t="str">
        <x:v>AuthorityRecord</x:v>
      </x:c>
      <x:c r="B98" s="7" t="str">
        <x:v>data_types</x:v>
      </x:c>
      <x:c r="C98" s="7" t="str">
        <x:v>jsonb</x:v>
      </x:c>
      <x:c r="D98" s="7" t="str">
        <x:v>Required</x:v>
      </x:c>
      <x:c r="E98" s="7" t="str">
        <x:v>Permitted health information classes or canonical resource categories. Type: array</x:v>
      </x:c>
      <x:c r="F98" s="7" t="str">
        <x:v>Sensitive</x:v>
      </x:c>
      <x:c r="G98" s="7" t="str">
        <x:v>Authorised actor or verified source</x:v>
      </x:c>
      <x:c r="H98" s="7" t="str">
        <x:v>Retain original source and revision</x:v>
      </x:c>
      <x:c r="I98" s="7" t="str">
        <x:v>By approved record class policy</x:v>
      </x:c>
    </x:row>
    <x:row r="99" ht="35.25" customHeight="1">
      <x:c r="A99" s="8" t="str">
        <x:v>AuthorityRecord</x:v>
      </x:c>
      <x:c r="B99" s="8" t="str">
        <x:v>actions</x:v>
      </x:c>
      <x:c r="C99" s="8" t="str">
        <x:v>jsonb</x:v>
      </x:c>
      <x:c r="D99" s="8" t="str">
        <x:v>Required</x:v>
      </x:c>
      <x:c r="E99" s="8" t="str">
        <x:v>Exact operations authorised under this evidence-backed scope. Type: array</x:v>
      </x:c>
      <x:c r="F99" s="8" t="str">
        <x:v>Sensitive</x:v>
      </x:c>
      <x:c r="G99" s="8" t="str">
        <x:v>Authorised actor or verified source</x:v>
      </x:c>
      <x:c r="H99" s="8" t="str">
        <x:v>Retain original source and revision</x:v>
      </x:c>
      <x:c r="I99" s="8" t="str">
        <x:v>By approved record class policy</x:v>
      </x:c>
    </x:row>
    <x:row r="100" ht="35.25" customHeight="1">
      <x:c r="A100" s="7" t="str">
        <x:v>AuthorityRecord</x:v>
      </x:c>
      <x:c r="B100" s="7" t="str">
        <x:v>state</x:v>
      </x:c>
      <x:c r="C100" s="7" t="str">
        <x:v>text</x:v>
      </x:c>
      <x:c r="D100" s="7" t="str">
        <x:v>Required</x:v>
      </x:c>
      <x:c r="E100" s="7" t="str">
        <x:v>Allowed values: requested, active, denied, revoked, expired, superseded</x:v>
      </x:c>
      <x:c r="F100" s="7" t="str">
        <x:v>Sensitive</x:v>
      </x:c>
      <x:c r="G100" s="7" t="str">
        <x:v>Authorised actor or verified source</x:v>
      </x:c>
      <x:c r="H100" s="7" t="str">
        <x:v>Retain original source and revision</x:v>
      </x:c>
      <x:c r="I100" s="7" t="str">
        <x:v>By approved record class policy</x:v>
      </x:c>
    </x:row>
    <x:row r="101" ht="35.25" customHeight="1">
      <x:c r="A101" s="8" t="str">
        <x:v>AuthorityRecord</x:v>
      </x:c>
      <x:c r="B101" s="8" t="str">
        <x:v>valid_from</x:v>
      </x:c>
      <x:c r="C101" s="8" t="str">
        <x:v>timestamptz</x:v>
      </x:c>
      <x:c r="D101" s="8" t="str">
        <x:v>Required</x:v>
      </x:c>
      <x:c r="E101" s="8" t="str">
        <x:v>Beginning of the verified authority interval. Format: date-time</x:v>
      </x:c>
      <x:c r="F101" s="8" t="str">
        <x:v>Sensitive</x:v>
      </x:c>
      <x:c r="G101" s="8" t="str">
        <x:v>Authorised actor or verified source</x:v>
      </x:c>
      <x:c r="H101" s="8" t="str">
        <x:v>Retain original source and revision</x:v>
      </x:c>
      <x:c r="I101" s="8" t="str">
        <x:v>By approved record class policy</x:v>
      </x:c>
    </x:row>
    <x:row r="102" ht="35.25" customHeight="1">
      <x:c r="A102" s="7" t="str">
        <x:v>AuthorityRecord</x:v>
      </x:c>
      <x:c r="B102" s="7" t="str">
        <x:v>expires_at</x:v>
      </x:c>
      <x:c r="C102" s="7" t="str">
        <x:v>timestamptz</x:v>
      </x:c>
      <x:c r="D102" s="7" t="str">
        <x:v>Required</x:v>
      </x:c>
      <x:c r="E102" s="7" t="str">
        <x:v>Authority, grant or ticket expiry evaluated against trusted server time. Format: date-time</x:v>
      </x:c>
      <x:c r="F102" s="7" t="str">
        <x:v>Sensitive</x:v>
      </x:c>
      <x:c r="G102" s="7" t="str">
        <x:v>Authorised actor or verified source</x:v>
      </x:c>
      <x:c r="H102" s="7" t="str">
        <x:v>Retain original source and revision</x:v>
      </x:c>
      <x:c r="I102" s="7" t="str">
        <x:v>By approved record class policy</x:v>
      </x:c>
    </x:row>
    <x:row r="103" ht="35.25" customHeight="1">
      <x:c r="A103" s="8" t="str">
        <x:v>AuthorityRecord</x:v>
      </x:c>
      <x:c r="B103" s="8" t="str">
        <x:v>notice_version</x:v>
      </x:c>
      <x:c r="C103" s="8" t="str">
        <x:v>text</x:v>
      </x:c>
      <x:c r="D103" s="8" t="str">
        <x:v>Optional</x:v>
      </x:c>
      <x:c r="E103" s="8" t="str">
        <x:v>Version of the notice shown during the relevant authority flow. Type: string</x:v>
      </x:c>
      <x:c r="F103" s="8" t="str">
        <x:v>Sensitive</x:v>
      </x:c>
      <x:c r="G103" s="8" t="str">
        <x:v>Authorised actor or verified source</x:v>
      </x:c>
      <x:c r="H103" s="8" t="str">
        <x:v>Retain original source and revision</x:v>
      </x:c>
      <x:c r="I103" s="8" t="str">
        <x:v>By approved record class policy</x:v>
      </x:c>
    </x:row>
    <x:row r="104" ht="35.25" customHeight="1">
      <x:c r="A104" s="7" t="str">
        <x:v>AuthorityRecord</x:v>
      </x:c>
      <x:c r="B104" s="7" t="str">
        <x:v>external_artefact_ref</x:v>
      </x:c>
      <x:c r="C104" s="7" t="str">
        <x:v>text</x:v>
      </x:c>
      <x:c r="D104" s="7" t="str">
        <x:v>Optional</x:v>
      </x:c>
      <x:c r="E104" s="7" t="str">
        <x:v>Reference to authenticated external consent or authority evidence. Type: string</x:v>
      </x:c>
      <x:c r="F104" s="7" t="str">
        <x:v>Sensitive</x:v>
      </x:c>
      <x:c r="G104" s="7" t="str">
        <x:v>Authorised actor or verified source</x:v>
      </x:c>
      <x:c r="H104" s="7" t="str">
        <x:v>Retain original source and revision</x:v>
      </x:c>
      <x:c r="I104" s="7" t="str">
        <x:v>By approved record class policy</x:v>
      </x:c>
    </x:row>
    <x:row r="105" ht="35.25" customHeight="1">
      <x:c r="A105" s="8" t="str">
        <x:v>AuthorityRecord</x:v>
      </x:c>
      <x:c r="B105" s="8" t="str">
        <x:v>date_from</x:v>
      </x:c>
      <x:c r="C105" s="8" t="str">
        <x:v>timestamptz</x:v>
      </x:c>
      <x:c r="D105" s="8" t="str">
        <x:v>Optional</x:v>
      </x:c>
      <x:c r="E105" s="8" t="str">
        <x:v>Start of the authorised clinical data period. Format: date-time</x:v>
      </x:c>
      <x:c r="F105" s="8" t="str">
        <x:v>Sensitive</x:v>
      </x:c>
      <x:c r="G105" s="8" t="str">
        <x:v>Authorised actor or verified source</x:v>
      </x:c>
      <x:c r="H105" s="8" t="str">
        <x:v>Retain original source and revision</x:v>
      </x:c>
      <x:c r="I105" s="8" t="str">
        <x:v>By approved record class policy</x:v>
      </x:c>
    </x:row>
    <x:row r="106" ht="35.25" customHeight="1">
      <x:c r="A106" s="7" t="str">
        <x:v>AuthorityRecord</x:v>
      </x:c>
      <x:c r="B106" s="7" t="str">
        <x:v>date_to</x:v>
      </x:c>
      <x:c r="C106" s="7" t="str">
        <x:v>timestamptz</x:v>
      </x:c>
      <x:c r="D106" s="7" t="str">
        <x:v>Optional</x:v>
      </x:c>
      <x:c r="E106" s="7" t="str">
        <x:v>End of the authorised clinical data period. Format: date-time</x:v>
      </x:c>
      <x:c r="F106" s="7" t="str">
        <x:v>Sensitive</x:v>
      </x:c>
      <x:c r="G106" s="7" t="str">
        <x:v>Authorised actor or verified source</x:v>
      </x:c>
      <x:c r="H106" s="7" t="str">
        <x:v>Retain original source and revision</x:v>
      </x:c>
      <x:c r="I106" s="7" t="str">
        <x:v>By approved record class policy</x:v>
      </x:c>
    </x:row>
    <x:row r="107" ht="35.25" customHeight="1">
      <x:c r="A107" s="8" t="str">
        <x:v>ProgrammePack</x:v>
      </x:c>
      <x:c r="B107" s="8" t="str">
        <x:v>id</x:v>
      </x:c>
      <x:c r="C107" s="8" t="str">
        <x:v>uuid</x:v>
      </x:c>
      <x:c r="D107" s="8" t="str">
        <x:v>Required</x:v>
      </x:c>
      <x:c r="E107" s="8" t="str">
        <x:v>Stable platform resource identifier, independent of external patient identifiers. Format: uuid</x:v>
      </x:c>
      <x:c r="F107" s="8" t="str">
        <x:v>Configuration</x:v>
      </x:c>
      <x:c r="G107" s="8" t="str">
        <x:v>Server generated</x:v>
      </x:c>
      <x:c r="H107" s="8" t="str">
        <x:v>Retain original source and revision</x:v>
      </x:c>
      <x:c r="I107" s="8" t="str">
        <x:v>By approved record class policy</x:v>
      </x:c>
    </x:row>
    <x:row r="108" ht="35.25" customHeight="1">
      <x:c r="A108" s="7" t="str">
        <x:v>ProgrammePack</x:v>
      </x:c>
      <x:c r="B108" s="7" t="str">
        <x:v>tenant_id</x:v>
      </x:c>
      <x:c r="C108" s="7" t="str">
        <x:v>uuid</x:v>
      </x:c>
      <x:c r="D108" s="7" t="str">
        <x:v>Required</x:v>
      </x:c>
      <x:c r="E108" s="7" t="str">
        <x:v>Owning deployment boundary derived from verified server context. Format: uuid</x:v>
      </x:c>
      <x:c r="F108" s="7" t="str">
        <x:v>Configuration</x:v>
      </x:c>
      <x:c r="G108" s="7" t="str">
        <x:v>Server generated</x:v>
      </x:c>
      <x:c r="H108" s="7" t="str">
        <x:v>Retain original source and revision</x:v>
      </x:c>
      <x:c r="I108" s="7" t="str">
        <x:v>By approved record class policy</x:v>
      </x:c>
    </x:row>
    <x:row r="109" ht="35.25" customHeight="1">
      <x:c r="A109" s="8" t="str">
        <x:v>ProgrammePack</x:v>
      </x:c>
      <x:c r="B109" s="8" t="str">
        <x:v>version</x:v>
      </x:c>
      <x:c r="C109" s="8" t="str">
        <x:v>bigint</x:v>
      </x:c>
      <x:c r="D109" s="8" t="str">
        <x:v>Required</x:v>
      </x:c>
      <x:c r="E109" s="8" t="str">
        <x:v>Monotonically increasing resource version used for concurrency and revision binding. Type: integer</x:v>
      </x:c>
      <x:c r="F109" s="8" t="str">
        <x:v>Configuration</x:v>
      </x:c>
      <x:c r="G109" s="8" t="str">
        <x:v>Server generated</x:v>
      </x:c>
      <x:c r="H109" s="8" t="str">
        <x:v>Retain original source and revision</x:v>
      </x:c>
      <x:c r="I109" s="8" t="str">
        <x:v>By approved record class policy</x:v>
      </x:c>
    </x:row>
    <x:row r="110" ht="47.25" customHeight="1">
      <x:c r="A110" s="7" t="str">
        <x:v>ProgrammePack</x:v>
      </x:c>
      <x:c r="B110" s="7" t="str">
        <x:v>environment</x:v>
      </x:c>
      <x:c r="C110" s="7" t="str">
        <x:v>text</x:v>
      </x:c>
      <x:c r="D110" s="7" t="str">
        <x:v>Required</x:v>
      </x:c>
      <x:c r="E110" s="7" t="str">
        <x:v>Synthetic, test or production origin; environments must not exchange live credentials. Allowed values: synthetic, test, production</x:v>
      </x:c>
      <x:c r="F110" s="7" t="str">
        <x:v>Configuration</x:v>
      </x:c>
      <x:c r="G110" s="7" t="str">
        <x:v>Server generated</x:v>
      </x:c>
      <x:c r="H110" s="7" t="str">
        <x:v>Retain original source and revision</x:v>
      </x:c>
      <x:c r="I110" s="7" t="str">
        <x:v>By approved record class policy</x:v>
      </x:c>
    </x:row>
    <x:row r="111" ht="35.25" customHeight="1">
      <x:c r="A111" s="8" t="str">
        <x:v>ProgrammePack</x:v>
      </x:c>
      <x:c r="B111" s="8" t="str">
        <x:v>created_at</x:v>
      </x:c>
      <x:c r="C111" s="8" t="str">
        <x:v>timestamptz</x:v>
      </x:c>
      <x:c r="D111" s="8" t="str">
        <x:v>Required</x:v>
      </x:c>
      <x:c r="E111" s="8" t="str">
        <x:v>Server timestamp at original resource creation. Format: date-time</x:v>
      </x:c>
      <x:c r="F111" s="8" t="str">
        <x:v>Configuration</x:v>
      </x:c>
      <x:c r="G111" s="8" t="str">
        <x:v>Server generated</x:v>
      </x:c>
      <x:c r="H111" s="8" t="str">
        <x:v>Retain original source and revision</x:v>
      </x:c>
      <x:c r="I111" s="8" t="str">
        <x:v>By approved record class policy</x:v>
      </x:c>
    </x:row>
    <x:row r="112" ht="35.25" customHeight="1">
      <x:c r="A112" s="7" t="str">
        <x:v>ProgrammePack</x:v>
      </x:c>
      <x:c r="B112" s="7" t="str">
        <x:v>updated_at</x:v>
      </x:c>
      <x:c r="C112" s="7" t="str">
        <x:v>timestamptz</x:v>
      </x:c>
      <x:c r="D112" s="7" t="str">
        <x:v>Required</x:v>
      </x:c>
      <x:c r="E112" s="7" t="str">
        <x:v>Server timestamp at the latest current-pointer or lifecycle change. Format: date-time</x:v>
      </x:c>
      <x:c r="F112" s="7" t="str">
        <x:v>Configuration</x:v>
      </x:c>
      <x:c r="G112" s="7" t="str">
        <x:v>Server generated</x:v>
      </x:c>
      <x:c r="H112" s="7" t="str">
        <x:v>Retain original source and revision</x:v>
      </x:c>
      <x:c r="I112" s="7" t="str">
        <x:v>By approved record class policy</x:v>
      </x:c>
    </x:row>
    <x:row r="113" ht="35.25" customHeight="1">
      <x:c r="A113" s="8" t="str">
        <x:v>ProgrammePack</x:v>
      </x:c>
      <x:c r="B113" s="8" t="str">
        <x:v>programme_id</x:v>
      </x:c>
      <x:c r="C113" s="8" t="str">
        <x:v>text</x:v>
      </x:c>
      <x:c r="D113" s="8" t="str">
        <x:v>Required</x:v>
      </x:c>
      <x:c r="E113" s="8" t="str">
        <x:v>Programme namespace governed by its accountable owner. Type: string</x:v>
      </x:c>
      <x:c r="F113" s="8" t="str">
        <x:v>Configuration</x:v>
      </x:c>
      <x:c r="G113" s="8" t="str">
        <x:v>Authorised actor or verified source</x:v>
      </x:c>
      <x:c r="H113" s="8" t="str">
        <x:v>Retain original source and revision</x:v>
      </x:c>
      <x:c r="I113" s="8" t="str">
        <x:v>By approved record class policy</x:v>
      </x:c>
    </x:row>
    <x:row r="114" ht="35.25" customHeight="1">
      <x:c r="A114" s="7" t="str">
        <x:v>ProgrammePack</x:v>
      </x:c>
      <x:c r="B114" s="7" t="str">
        <x:v>pack_version</x:v>
      </x:c>
      <x:c r="C114" s="7" t="str">
        <x:v>text</x:v>
      </x:c>
      <x:c r="D114" s="7" t="str">
        <x:v>Required</x:v>
      </x:c>
      <x:c r="E114" s="7" t="str">
        <x:v>Immutable question, rule and mapping content version. Type: string</x:v>
      </x:c>
      <x:c r="F114" s="7" t="str">
        <x:v>Configuration</x:v>
      </x:c>
      <x:c r="G114" s="7" t="str">
        <x:v>Authorised actor or verified source</x:v>
      </x:c>
      <x:c r="H114" s="7" t="str">
        <x:v>Retain original source and revision</x:v>
      </x:c>
      <x:c r="I114" s="7" t="str">
        <x:v>By approved record class policy</x:v>
      </x:c>
    </x:row>
    <x:row r="115" ht="35.25" customHeight="1">
      <x:c r="A115" s="8" t="str">
        <x:v>ProgrammePack</x:v>
      </x:c>
      <x:c r="B115" s="8" t="str">
        <x:v>schema_ref</x:v>
      </x:c>
      <x:c r="C115" s="8" t="str">
        <x:v>text</x:v>
      </x:c>
      <x:c r="D115" s="8" t="str">
        <x:v>Required</x:v>
      </x:c>
      <x:c r="E115" s="8" t="str">
        <x:v>Pinned schema used to validate the configured content. Type: string</x:v>
      </x:c>
      <x:c r="F115" s="8" t="str">
        <x:v>Configuration</x:v>
      </x:c>
      <x:c r="G115" s="8" t="str">
        <x:v>Authorised actor or verified source</x:v>
      </x:c>
      <x:c r="H115" s="8" t="str">
        <x:v>Retain original source and revision</x:v>
      </x:c>
      <x:c r="I115" s="8" t="str">
        <x:v>By approved record class policy</x:v>
      </x:c>
    </x:row>
    <x:row r="116" ht="30" customHeight="1">
      <x:c r="A116" s="7" t="str">
        <x:v>ProgrammePack</x:v>
      </x:c>
      <x:c r="B116" s="7" t="str">
        <x:v>rules_hash</x:v>
      </x:c>
      <x:c r="C116" s="7" t="str">
        <x:v>text</x:v>
      </x:c>
      <x:c r="D116" s="7" t="str">
        <x:v>Required</x:v>
      </x:c>
      <x:c r="E116" s="7" t="str">
        <x:v>Digest of the reviewed programme rules. Type: string</x:v>
      </x:c>
      <x:c r="F116" s="7" t="str">
        <x:v>Configuration</x:v>
      </x:c>
      <x:c r="G116" s="7" t="str">
        <x:v>Authorised actor or verified source</x:v>
      </x:c>
      <x:c r="H116" s="7" t="str">
        <x:v>Retain original source and revision</x:v>
      </x:c>
      <x:c r="I116" s="7" t="str">
        <x:v>By approved record class policy</x:v>
      </x:c>
    </x:row>
    <x:row r="117" ht="35.25" customHeight="1">
      <x:c r="A117" s="8" t="str">
        <x:v>ProgrammePack</x:v>
      </x:c>
      <x:c r="B117" s="8" t="str">
        <x:v>mapping_refs</x:v>
      </x:c>
      <x:c r="C117" s="8" t="str">
        <x:v>jsonb</x:v>
      </x:c>
      <x:c r="D117" s="8" t="str">
        <x:v>Required</x:v>
      </x:c>
      <x:c r="E117" s="8" t="str">
        <x:v>Versioned transformation and terminology mapping references. Type: array</x:v>
      </x:c>
      <x:c r="F117" s="8" t="str">
        <x:v>Configuration</x:v>
      </x:c>
      <x:c r="G117" s="8" t="str">
        <x:v>Authorised actor or verified source</x:v>
      </x:c>
      <x:c r="H117" s="8" t="str">
        <x:v>Retain original source and revision</x:v>
      </x:c>
      <x:c r="I117" s="8" t="str">
        <x:v>By approved record class policy</x:v>
      </x:c>
    </x:row>
    <x:row r="118" ht="35.25" customHeight="1">
      <x:c r="A118" s="7" t="str">
        <x:v>ProgrammePack</x:v>
      </x:c>
      <x:c r="B118" s="7" t="str">
        <x:v>state</x:v>
      </x:c>
      <x:c r="C118" s="7" t="str">
        <x:v>text</x:v>
      </x:c>
      <x:c r="D118" s="7" t="str">
        <x:v>Required</x:v>
      </x:c>
      <x:c r="E118" s="7" t="str">
        <x:v>Allowed values: draft, validated, reviewed, active, retired</x:v>
      </x:c>
      <x:c r="F118" s="7" t="str">
        <x:v>Configuration</x:v>
      </x:c>
      <x:c r="G118" s="7" t="str">
        <x:v>Authorised actor or verified source</x:v>
      </x:c>
      <x:c r="H118" s="7" t="str">
        <x:v>Retain original source and revision</x:v>
      </x:c>
      <x:c r="I118" s="7" t="str">
        <x:v>By approved record class policy</x:v>
      </x:c>
    </x:row>
    <x:row r="119" ht="35.25" customHeight="1">
      <x:c r="A119" s="8" t="str">
        <x:v>ProgrammePack</x:v>
      </x:c>
      <x:c r="B119" s="8" t="str">
        <x:v>effective_from</x:v>
      </x:c>
      <x:c r="C119" s="8" t="str">
        <x:v>timestamptz</x:v>
      </x:c>
      <x:c r="D119" s="8" t="str">
        <x:v>Required</x:v>
      </x:c>
      <x:c r="E119" s="8" t="str">
        <x:v>Time from which this relationship or configuration is applicable. Format: date-time</x:v>
      </x:c>
      <x:c r="F119" s="8" t="str">
        <x:v>Configuration</x:v>
      </x:c>
      <x:c r="G119" s="8" t="str">
        <x:v>Authorised actor or verified source</x:v>
      </x:c>
      <x:c r="H119" s="8" t="str">
        <x:v>Retain original source and revision</x:v>
      </x:c>
      <x:c r="I119" s="8" t="str">
        <x:v>By approved record class policy</x:v>
      </x:c>
    </x:row>
    <x:row r="120" ht="35.25" customHeight="1">
      <x:c r="A120" s="7" t="str">
        <x:v>ProgrammePack</x:v>
      </x:c>
      <x:c r="B120" s="7" t="str">
        <x:v>approval_refs</x:v>
      </x:c>
      <x:c r="C120" s="7" t="str">
        <x:v>jsonb</x:v>
      </x:c>
      <x:c r="D120" s="7" t="str">
        <x:v>Required</x:v>
      </x:c>
      <x:c r="E120" s="7" t="str">
        <x:v>Required technical, programme, clinical or privacy approval evidence. Type: array</x:v>
      </x:c>
      <x:c r="F120" s="7" t="str">
        <x:v>Configuration</x:v>
      </x:c>
      <x:c r="G120" s="7" t="str">
        <x:v>Authorised actor or verified source</x:v>
      </x:c>
      <x:c r="H120" s="7" t="str">
        <x:v>Retain original source and revision</x:v>
      </x:c>
      <x:c r="I120" s="7" t="str">
        <x:v>By approved record class policy</x:v>
      </x:c>
    </x:row>
    <x:row r="121" ht="35.25" customHeight="1">
      <x:c r="A121" s="8" t="str">
        <x:v>ProgrammePack</x:v>
      </x:c>
      <x:c r="B121" s="8" t="str">
        <x:v>language_versions</x:v>
      </x:c>
      <x:c r="C121" s="8" t="str">
        <x:v>jsonb</x:v>
      </x:c>
      <x:c r="D121" s="8" t="str">
        <x:v>Required</x:v>
      </x:c>
      <x:c r="E121" s="8" t="str">
        <x:v>Reviewed language content versions compatible with this pack. Type: array</x:v>
      </x:c>
      <x:c r="F121" s="8" t="str">
        <x:v>Configuration</x:v>
      </x:c>
      <x:c r="G121" s="8" t="str">
        <x:v>Authorised actor or verified source</x:v>
      </x:c>
      <x:c r="H121" s="8" t="str">
        <x:v>Retain original source and revision</x:v>
      </x:c>
      <x:c r="I121" s="8" t="str">
        <x:v>By approved record class policy</x:v>
      </x:c>
    </x:row>
    <x:row r="122" ht="35.25" customHeight="1">
      <x:c r="A122" s="7" t="str">
        <x:v>Task</x:v>
      </x:c>
      <x:c r="B122" s="7" t="str">
        <x:v>id</x:v>
      </x:c>
      <x:c r="C122" s="7" t="str">
        <x:v>uuid</x:v>
      </x:c>
      <x:c r="D122" s="7" t="str">
        <x:v>Required</x:v>
      </x:c>
      <x:c r="E122" s="7" t="str">
        <x:v>Stable platform resource identifier, independent of external patient identifiers. Format: uuid</x:v>
      </x:c>
      <x:c r="F122" s="7" t="str">
        <x:v>Sensitive</x:v>
      </x:c>
      <x:c r="G122" s="7" t="str">
        <x:v>Server generated</x:v>
      </x:c>
      <x:c r="H122" s="7" t="str">
        <x:v>Retain original source and revision</x:v>
      </x:c>
      <x:c r="I122" s="7" t="str">
        <x:v>By approved record class policy</x:v>
      </x:c>
    </x:row>
    <x:row r="123" ht="35.25" customHeight="1">
      <x:c r="A123" s="8" t="str">
        <x:v>Task</x:v>
      </x:c>
      <x:c r="B123" s="8" t="str">
        <x:v>tenant_id</x:v>
      </x:c>
      <x:c r="C123" s="8" t="str">
        <x:v>uuid</x:v>
      </x:c>
      <x:c r="D123" s="8" t="str">
        <x:v>Required</x:v>
      </x:c>
      <x:c r="E123" s="8" t="str">
        <x:v>Owning deployment boundary derived from verified server context. Format: uuid</x:v>
      </x:c>
      <x:c r="F123" s="8" t="str">
        <x:v>Sensitive</x:v>
      </x:c>
      <x:c r="G123" s="8" t="str">
        <x:v>Server generated</x:v>
      </x:c>
      <x:c r="H123" s="8" t="str">
        <x:v>Retain original source and revision</x:v>
      </x:c>
      <x:c r="I123" s="8" t="str">
        <x:v>By approved record class policy</x:v>
      </x:c>
    </x:row>
    <x:row r="124" ht="35.25" customHeight="1">
      <x:c r="A124" s="7" t="str">
        <x:v>Task</x:v>
      </x:c>
      <x:c r="B124" s="7" t="str">
        <x:v>version</x:v>
      </x:c>
      <x:c r="C124" s="7" t="str">
        <x:v>bigint</x:v>
      </x:c>
      <x:c r="D124" s="7" t="str">
        <x:v>Required</x:v>
      </x:c>
      <x:c r="E124" s="7" t="str">
        <x:v>Monotonically increasing resource version used for concurrency and revision binding. Type: integer</x:v>
      </x:c>
      <x:c r="F124" s="7" t="str">
        <x:v>Sensitive</x:v>
      </x:c>
      <x:c r="G124" s="7" t="str">
        <x:v>Server generated</x:v>
      </x:c>
      <x:c r="H124" s="7" t="str">
        <x:v>Retain original source and revision</x:v>
      </x:c>
      <x:c r="I124" s="7" t="str">
        <x:v>By approved record class policy</x:v>
      </x:c>
    </x:row>
    <x:row r="125" ht="47.25" customHeight="1">
      <x:c r="A125" s="8" t="str">
        <x:v>Task</x:v>
      </x:c>
      <x:c r="B125" s="8" t="str">
        <x:v>environment</x:v>
      </x:c>
      <x:c r="C125" s="8" t="str">
        <x:v>text</x:v>
      </x:c>
      <x:c r="D125" s="8" t="str">
        <x:v>Required</x:v>
      </x:c>
      <x:c r="E125" s="8" t="str">
        <x:v>Synthetic, test or production origin; environments must not exchange live credentials. Allowed values: synthetic, test, production</x:v>
      </x:c>
      <x:c r="F125" s="8" t="str">
        <x:v>Sensitive</x:v>
      </x:c>
      <x:c r="G125" s="8" t="str">
        <x:v>Server generated</x:v>
      </x:c>
      <x:c r="H125" s="8" t="str">
        <x:v>Retain original source and revision</x:v>
      </x:c>
      <x:c r="I125" s="8" t="str">
        <x:v>By approved record class policy</x:v>
      </x:c>
    </x:row>
    <x:row r="126" ht="35.25" customHeight="1">
      <x:c r="A126" s="7" t="str">
        <x:v>Task</x:v>
      </x:c>
      <x:c r="B126" s="7" t="str">
        <x:v>created_at</x:v>
      </x:c>
      <x:c r="C126" s="7" t="str">
        <x:v>timestamptz</x:v>
      </x:c>
      <x:c r="D126" s="7" t="str">
        <x:v>Required</x:v>
      </x:c>
      <x:c r="E126" s="7" t="str">
        <x:v>Server timestamp at original resource creation. Format: date-time</x:v>
      </x:c>
      <x:c r="F126" s="7" t="str">
        <x:v>Sensitive</x:v>
      </x:c>
      <x:c r="G126" s="7" t="str">
        <x:v>Server generated</x:v>
      </x:c>
      <x:c r="H126" s="7" t="str">
        <x:v>Retain original source and revision</x:v>
      </x:c>
      <x:c r="I126" s="7" t="str">
        <x:v>By approved record class policy</x:v>
      </x:c>
    </x:row>
    <x:row r="127" ht="35.25" customHeight="1">
      <x:c r="A127" s="8" t="str">
        <x:v>Task</x:v>
      </x:c>
      <x:c r="B127" s="8" t="str">
        <x:v>updated_at</x:v>
      </x:c>
      <x:c r="C127" s="8" t="str">
        <x:v>timestamptz</x:v>
      </x:c>
      <x:c r="D127" s="8" t="str">
        <x:v>Required</x:v>
      </x:c>
      <x:c r="E127" s="8" t="str">
        <x:v>Server timestamp at the latest current-pointer or lifecycle change. Format: date-time</x:v>
      </x:c>
      <x:c r="F127" s="8" t="str">
        <x:v>Sensitive</x:v>
      </x:c>
      <x:c r="G127" s="8" t="str">
        <x:v>Server generated</x:v>
      </x:c>
      <x:c r="H127" s="8" t="str">
        <x:v>Retain original source and revision</x:v>
      </x:c>
      <x:c r="I127" s="8" t="str">
        <x:v>By approved record class policy</x:v>
      </x:c>
    </x:row>
    <x:row r="128" ht="35.25" customHeight="1">
      <x:c r="A128" s="7" t="str">
        <x:v>Task</x:v>
      </x:c>
      <x:c r="B128" s="7" t="str">
        <x:v>person_id</x:v>
      </x:c>
      <x:c r="C128" s="7" t="str">
        <x:v>uuid</x:v>
      </x:c>
      <x:c r="D128" s="7" t="str">
        <x:v>Required</x:v>
      </x:c>
      <x:c r="E128" s="7" t="str">
        <x:v>Subject person reference; must agree with the encounter and action context. Format: uuid</x:v>
      </x:c>
      <x:c r="F128" s="7" t="str">
        <x:v>Sensitive</x:v>
      </x:c>
      <x:c r="G128" s="7" t="str">
        <x:v>Authorised actor or verified source</x:v>
      </x:c>
      <x:c r="H128" s="7" t="str">
        <x:v>Retain original source and revision</x:v>
      </x:c>
      <x:c r="I128" s="7" t="str">
        <x:v>By approved record class policy</x:v>
      </x:c>
    </x:row>
    <x:row r="129" ht="35.25" customHeight="1">
      <x:c r="A129" s="8" t="str">
        <x:v>Task</x:v>
      </x:c>
      <x:c r="B129" s="8" t="str">
        <x:v>encounter_id</x:v>
      </x:c>
      <x:c r="C129" s="8" t="str">
        <x:v>uuid</x:v>
      </x:c>
      <x:c r="D129" s="8" t="str">
        <x:v>Optional</x:v>
      </x:c>
      <x:c r="E129" s="8" t="str">
        <x:v>Single-person encounter to which this resource belongs. Format: uuid</x:v>
      </x:c>
      <x:c r="F129" s="8" t="str">
        <x:v>Sensitive</x:v>
      </x:c>
      <x:c r="G129" s="8" t="str">
        <x:v>Authorised actor or verified source</x:v>
      </x:c>
      <x:c r="H129" s="8" t="str">
        <x:v>Retain original source and revision</x:v>
      </x:c>
      <x:c r="I129" s="8" t="str">
        <x:v>By approved record class policy</x:v>
      </x:c>
    </x:row>
    <x:row r="130" ht="35.25" customHeight="1">
      <x:c r="A130" s="7" t="str">
        <x:v>Task</x:v>
      </x:c>
      <x:c r="B130" s="7" t="str">
        <x:v>task_type</x:v>
      </x:c>
      <x:c r="C130" s="7" t="str">
        <x:v>text</x:v>
      </x:c>
      <x:c r="D130" s="7" t="str">
        <x:v>Required</x:v>
      </x:c>
      <x:c r="E130" s="7" t="str">
        <x:v>Governed task vocabulary identifying intended work. Type: string</x:v>
      </x:c>
      <x:c r="F130" s="7" t="str">
        <x:v>Sensitive</x:v>
      </x:c>
      <x:c r="G130" s="7" t="str">
        <x:v>Authorised actor or verified source</x:v>
      </x:c>
      <x:c r="H130" s="7" t="str">
        <x:v>Retain original source and revision</x:v>
      </x:c>
      <x:c r="I130" s="7" t="str">
        <x:v>By approved record class policy</x:v>
      </x:c>
    </x:row>
    <x:row r="131" ht="35.25" customHeight="1">
      <x:c r="A131" s="8" t="str">
        <x:v>Task</x:v>
      </x:c>
      <x:c r="B131" s="8" t="str">
        <x:v>owner_ref</x:v>
      </x:c>
      <x:c r="C131" s="8" t="str">
        <x:v>text</x:v>
      </x:c>
      <x:c r="D131" s="8" t="str">
        <x:v>Required</x:v>
      </x:c>
      <x:c r="E131" s="8" t="str">
        <x:v>Assigned principal, institution or monitored queue accountable for the work. Type: string</x:v>
      </x:c>
      <x:c r="F131" s="8" t="str">
        <x:v>Sensitive</x:v>
      </x:c>
      <x:c r="G131" s="8" t="str">
        <x:v>Authorised actor or verified source</x:v>
      </x:c>
      <x:c r="H131" s="8" t="str">
        <x:v>Retain original source and revision</x:v>
      </x:c>
      <x:c r="I131" s="8" t="str">
        <x:v>By approved record class policy</x:v>
      </x:c>
    </x:row>
    <x:row r="132" ht="35.25" customHeight="1">
      <x:c r="A132" s="7" t="str">
        <x:v>Task</x:v>
      </x:c>
      <x:c r="B132" s="7" t="str">
        <x:v>due_at</x:v>
      </x:c>
      <x:c r="C132" s="7" t="str">
        <x:v>timestamptz</x:v>
      </x:c>
      <x:c r="D132" s="7" t="str">
        <x:v>Optional</x:v>
      </x:c>
      <x:c r="E132" s="7" t="str">
        <x:v>Programme-derived deadline where a valid schedule exists. Format: date-time</x:v>
      </x:c>
      <x:c r="F132" s="7" t="str">
        <x:v>Sensitive</x:v>
      </x:c>
      <x:c r="G132" s="7" t="str">
        <x:v>Authorised actor or verified source</x:v>
      </x:c>
      <x:c r="H132" s="7" t="str">
        <x:v>Retain original source and revision</x:v>
      </x:c>
      <x:c r="I132" s="7" t="str">
        <x:v>By approved record class policy</x:v>
      </x:c>
    </x:row>
    <x:row r="133" ht="35.25" customHeight="1">
      <x:c r="A133" s="8" t="str">
        <x:v>Task</x:v>
      </x:c>
      <x:c r="B133" s="8" t="str">
        <x:v>reason_codes</x:v>
      </x:c>
      <x:c r="C133" s="8" t="str">
        <x:v>jsonb</x:v>
      </x:c>
      <x:c r="D133" s="8" t="str">
        <x:v>Required</x:v>
      </x:c>
      <x:c r="E133" s="8" t="str">
        <x:v>Coded reasons retained when equivalent tasks are consolidated. Type: array</x:v>
      </x:c>
      <x:c r="F133" s="8" t="str">
        <x:v>Sensitive</x:v>
      </x:c>
      <x:c r="G133" s="8" t="str">
        <x:v>Authorised actor or verified source</x:v>
      </x:c>
      <x:c r="H133" s="8" t="str">
        <x:v>Retain original source and revision</x:v>
      </x:c>
      <x:c r="I133" s="8" t="str">
        <x:v>By approved record class policy</x:v>
      </x:c>
    </x:row>
    <x:row r="134" ht="35.25" customHeight="1">
      <x:c r="A134" s="7" t="str">
        <x:v>Task</x:v>
      </x:c>
      <x:c r="B134" s="7" t="str">
        <x:v>state</x:v>
      </x:c>
      <x:c r="C134" s="7" t="str">
        <x:v>text</x:v>
      </x:c>
      <x:c r="D134" s="7" t="str">
        <x:v>Required</x:v>
      </x:c>
      <x:c r="E134" s="7" t="str">
        <x:v>Allowed values: open, assigned, in_progress, completed, unresolved, cancelled</x:v>
      </x:c>
      <x:c r="F134" s="7" t="str">
        <x:v>Sensitive</x:v>
      </x:c>
      <x:c r="G134" s="7" t="str">
        <x:v>Authorised actor or verified source</x:v>
      </x:c>
      <x:c r="H134" s="7" t="str">
        <x:v>Retain original source and revision</x:v>
      </x:c>
      <x:c r="I134" s="7" t="str">
        <x:v>By approved record class policy</x:v>
      </x:c>
    </x:row>
    <x:row r="135" ht="35.25" customHeight="1">
      <x:c r="A135" s="8" t="str">
        <x:v>Task</x:v>
      </x:c>
      <x:c r="B135" s="8" t="str">
        <x:v>evidence_ref</x:v>
      </x:c>
      <x:c r="C135" s="8" t="str">
        <x:v>text</x:v>
      </x:c>
      <x:c r="D135" s="8" t="str">
        <x:v>Optional</x:v>
      </x:c>
      <x:c r="E135" s="8" t="str">
        <x:v>Controlled reference proving the recorded event or decision. Type: string</x:v>
      </x:c>
      <x:c r="F135" s="8" t="str">
        <x:v>Sensitive</x:v>
      </x:c>
      <x:c r="G135" s="8" t="str">
        <x:v>Authorised actor or verified source</x:v>
      </x:c>
      <x:c r="H135" s="8" t="str">
        <x:v>Retain original source and revision</x:v>
      </x:c>
      <x:c r="I135" s="8" t="str">
        <x:v>By approved record class policy</x:v>
      </x:c>
    </x:row>
    <x:row r="136" ht="35.25" customHeight="1">
      <x:c r="A136" s="7" t="str">
        <x:v>Referral</x:v>
      </x:c>
      <x:c r="B136" s="7" t="str">
        <x:v>id</x:v>
      </x:c>
      <x:c r="C136" s="7" t="str">
        <x:v>uuid</x:v>
      </x:c>
      <x:c r="D136" s="7" t="str">
        <x:v>Required</x:v>
      </x:c>
      <x:c r="E136" s="7" t="str">
        <x:v>Stable platform resource identifier, independent of external patient identifiers. Format: uuid</x:v>
      </x:c>
      <x:c r="F136" s="7" t="str">
        <x:v>Sensitive</x:v>
      </x:c>
      <x:c r="G136" s="7" t="str">
        <x:v>Server generated</x:v>
      </x:c>
      <x:c r="H136" s="7" t="str">
        <x:v>Retain original source and revision</x:v>
      </x:c>
      <x:c r="I136" s="7" t="str">
        <x:v>By approved record class policy</x:v>
      </x:c>
    </x:row>
    <x:row r="137" ht="35.25" customHeight="1">
      <x:c r="A137" s="8" t="str">
        <x:v>Referral</x:v>
      </x:c>
      <x:c r="B137" s="8" t="str">
        <x:v>tenant_id</x:v>
      </x:c>
      <x:c r="C137" s="8" t="str">
        <x:v>uuid</x:v>
      </x:c>
      <x:c r="D137" s="8" t="str">
        <x:v>Required</x:v>
      </x:c>
      <x:c r="E137" s="8" t="str">
        <x:v>Owning deployment boundary derived from verified server context. Format: uuid</x:v>
      </x:c>
      <x:c r="F137" s="8" t="str">
        <x:v>Sensitive</x:v>
      </x:c>
      <x:c r="G137" s="8" t="str">
        <x:v>Server generated</x:v>
      </x:c>
      <x:c r="H137" s="8" t="str">
        <x:v>Retain original source and revision</x:v>
      </x:c>
      <x:c r="I137" s="8" t="str">
        <x:v>By approved record class policy</x:v>
      </x:c>
    </x:row>
    <x:row r="138" ht="35.25" customHeight="1">
      <x:c r="A138" s="7" t="str">
        <x:v>Referral</x:v>
      </x:c>
      <x:c r="B138" s="7" t="str">
        <x:v>version</x:v>
      </x:c>
      <x:c r="C138" s="7" t="str">
        <x:v>bigint</x:v>
      </x:c>
      <x:c r="D138" s="7" t="str">
        <x:v>Required</x:v>
      </x:c>
      <x:c r="E138" s="7" t="str">
        <x:v>Monotonically increasing resource version used for concurrency and revision binding. Type: integer</x:v>
      </x:c>
      <x:c r="F138" s="7" t="str">
        <x:v>Sensitive</x:v>
      </x:c>
      <x:c r="G138" s="7" t="str">
        <x:v>Server generated</x:v>
      </x:c>
      <x:c r="H138" s="7" t="str">
        <x:v>Retain original source and revision</x:v>
      </x:c>
      <x:c r="I138" s="7" t="str">
        <x:v>By approved record class policy</x:v>
      </x:c>
    </x:row>
    <x:row r="139" ht="47.25" customHeight="1">
      <x:c r="A139" s="8" t="str">
        <x:v>Referral</x:v>
      </x:c>
      <x:c r="B139" s="8" t="str">
        <x:v>environment</x:v>
      </x:c>
      <x:c r="C139" s="8" t="str">
        <x:v>text</x:v>
      </x:c>
      <x:c r="D139" s="8" t="str">
        <x:v>Required</x:v>
      </x:c>
      <x:c r="E139" s="8" t="str">
        <x:v>Synthetic, test or production origin; environments must not exchange live credentials. Allowed values: synthetic, test, production</x:v>
      </x:c>
      <x:c r="F139" s="8" t="str">
        <x:v>Sensitive</x:v>
      </x:c>
      <x:c r="G139" s="8" t="str">
        <x:v>Server generated</x:v>
      </x:c>
      <x:c r="H139" s="8" t="str">
        <x:v>Retain original source and revision</x:v>
      </x:c>
      <x:c r="I139" s="8" t="str">
        <x:v>By approved record class policy</x:v>
      </x:c>
    </x:row>
    <x:row r="140" ht="35.25" customHeight="1">
      <x:c r="A140" s="7" t="str">
        <x:v>Referral</x:v>
      </x:c>
      <x:c r="B140" s="7" t="str">
        <x:v>created_at</x:v>
      </x:c>
      <x:c r="C140" s="7" t="str">
        <x:v>timestamptz</x:v>
      </x:c>
      <x:c r="D140" s="7" t="str">
        <x:v>Required</x:v>
      </x:c>
      <x:c r="E140" s="7" t="str">
        <x:v>Server timestamp at original resource creation. Format: date-time</x:v>
      </x:c>
      <x:c r="F140" s="7" t="str">
        <x:v>Sensitive</x:v>
      </x:c>
      <x:c r="G140" s="7" t="str">
        <x:v>Server generated</x:v>
      </x:c>
      <x:c r="H140" s="7" t="str">
        <x:v>Retain original source and revision</x:v>
      </x:c>
      <x:c r="I140" s="7" t="str">
        <x:v>By approved record class policy</x:v>
      </x:c>
    </x:row>
    <x:row r="141" ht="35.25" customHeight="1">
      <x:c r="A141" s="8" t="str">
        <x:v>Referral</x:v>
      </x:c>
      <x:c r="B141" s="8" t="str">
        <x:v>updated_at</x:v>
      </x:c>
      <x:c r="C141" s="8" t="str">
        <x:v>timestamptz</x:v>
      </x:c>
      <x:c r="D141" s="8" t="str">
        <x:v>Required</x:v>
      </x:c>
      <x:c r="E141" s="8" t="str">
        <x:v>Server timestamp at the latest current-pointer or lifecycle change. Format: date-time</x:v>
      </x:c>
      <x:c r="F141" s="8" t="str">
        <x:v>Sensitive</x:v>
      </x:c>
      <x:c r="G141" s="8" t="str">
        <x:v>Server generated</x:v>
      </x:c>
      <x:c r="H141" s="8" t="str">
        <x:v>Retain original source and revision</x:v>
      </x:c>
      <x:c r="I141" s="8" t="str">
        <x:v>By approved record class policy</x:v>
      </x:c>
    </x:row>
    <x:row r="142" ht="35.25" customHeight="1">
      <x:c r="A142" s="7" t="str">
        <x:v>Referral</x:v>
      </x:c>
      <x:c r="B142" s="7" t="str">
        <x:v>person_id</x:v>
      </x:c>
      <x:c r="C142" s="7" t="str">
        <x:v>uuid</x:v>
      </x:c>
      <x:c r="D142" s="7" t="str">
        <x:v>Required</x:v>
      </x:c>
      <x:c r="E142" s="7" t="str">
        <x:v>Subject person reference; must agree with the encounter and action context. Format: uuid</x:v>
      </x:c>
      <x:c r="F142" s="7" t="str">
        <x:v>Sensitive</x:v>
      </x:c>
      <x:c r="G142" s="7" t="str">
        <x:v>Authorised actor or verified source</x:v>
      </x:c>
      <x:c r="H142" s="7" t="str">
        <x:v>Retain original source and revision</x:v>
      </x:c>
      <x:c r="I142" s="7" t="str">
        <x:v>By approved record class policy</x:v>
      </x:c>
    </x:row>
    <x:row r="143" ht="35.25" customHeight="1">
      <x:c r="A143" s="8" t="str">
        <x:v>Referral</x:v>
      </x:c>
      <x:c r="B143" s="8" t="str">
        <x:v>encounter_id</x:v>
      </x:c>
      <x:c r="C143" s="8" t="str">
        <x:v>uuid</x:v>
      </x:c>
      <x:c r="D143" s="8" t="str">
        <x:v>Required</x:v>
      </x:c>
      <x:c r="E143" s="8" t="str">
        <x:v>Single-person encounter to which this resource belongs. Format: uuid</x:v>
      </x:c>
      <x:c r="F143" s="8" t="str">
        <x:v>Sensitive</x:v>
      </x:c>
      <x:c r="G143" s="8" t="str">
        <x:v>Authorised actor or verified source</x:v>
      </x:c>
      <x:c r="H143" s="8" t="str">
        <x:v>Retain original source and revision</x:v>
      </x:c>
      <x:c r="I143" s="8" t="str">
        <x:v>By approved record class policy</x:v>
      </x:c>
    </x:row>
    <x:row r="144" ht="35.25" customHeight="1">
      <x:c r="A144" s="7" t="str">
        <x:v>Referral</x:v>
      </x:c>
      <x:c r="B144" s="7" t="str">
        <x:v>reason_codes</x:v>
      </x:c>
      <x:c r="C144" s="7" t="str">
        <x:v>jsonb</x:v>
      </x:c>
      <x:c r="D144" s="7" t="str">
        <x:v>Required</x:v>
      </x:c>
      <x:c r="E144" s="7" t="str">
        <x:v>Coded reasons retained when equivalent tasks are consolidated. Type: array</x:v>
      </x:c>
      <x:c r="F144" s="7" t="str">
        <x:v>Sensitive</x:v>
      </x:c>
      <x:c r="G144" s="7" t="str">
        <x:v>Authorised actor or verified source</x:v>
      </x:c>
      <x:c r="H144" s="7" t="str">
        <x:v>Retain original source and revision</x:v>
      </x:c>
      <x:c r="I144" s="7" t="str">
        <x:v>By approved record class policy</x:v>
      </x:c>
    </x:row>
    <x:row r="145" ht="35.25" customHeight="1">
      <x:c r="A145" s="8" t="str">
        <x:v>Referral</x:v>
      </x:c>
      <x:c r="B145" s="8" t="str">
        <x:v>destination_id</x:v>
      </x:c>
      <x:c r="C145" s="8" t="str">
        <x:v>uuid</x:v>
      </x:c>
      <x:c r="D145" s="8" t="str">
        <x:v>Required</x:v>
      </x:c>
      <x:c r="E145" s="8" t="str">
        <x:v>Verified receiving service directory reference. Format: uuid</x:v>
      </x:c>
      <x:c r="F145" s="8" t="str">
        <x:v>Sensitive</x:v>
      </x:c>
      <x:c r="G145" s="8" t="str">
        <x:v>Authorised actor or verified source</x:v>
      </x:c>
      <x:c r="H145" s="8" t="str">
        <x:v>Retain original source and revision</x:v>
      </x:c>
      <x:c r="I145" s="8" t="str">
        <x:v>By approved record class policy</x:v>
      </x:c>
    </x:row>
    <x:row r="146" ht="35.25" customHeight="1">
      <x:c r="A146" s="7" t="str">
        <x:v>Referral</x:v>
      </x:c>
      <x:c r="B146" s="7" t="str">
        <x:v>owner_ref</x:v>
      </x:c>
      <x:c r="C146" s="7" t="str">
        <x:v>text</x:v>
      </x:c>
      <x:c r="D146" s="7" t="str">
        <x:v>Required</x:v>
      </x:c>
      <x:c r="E146" s="7" t="str">
        <x:v>Assigned principal, institution or monitored queue accountable for the work. Type: string</x:v>
      </x:c>
      <x:c r="F146" s="7" t="str">
        <x:v>Sensitive</x:v>
      </x:c>
      <x:c r="G146" s="7" t="str">
        <x:v>Authorised actor or verified source</x:v>
      </x:c>
      <x:c r="H146" s="7" t="str">
        <x:v>Retain original source and revision</x:v>
      </x:c>
      <x:c r="I146" s="7" t="str">
        <x:v>By approved record class policy</x:v>
      </x:c>
    </x:row>
    <x:row r="147" ht="47.25" customHeight="1">
      <x:c r="A147" s="8" t="str">
        <x:v>Referral</x:v>
      </x:c>
      <x:c r="B147" s="8" t="str">
        <x:v>state</x:v>
      </x:c>
      <x:c r="C147" s="8" t="str">
        <x:v>text</x:v>
      </x:c>
      <x:c r="D147" s="8" t="str">
        <x:v>Required</x:v>
      </x:c>
      <x:c r="E147" s="8" t="str">
        <x:v>Allowed values: proposed, authorised, sent, received, scheduled, attended, completed, declined, cancelled, unresolved</x:v>
      </x:c>
      <x:c r="F147" s="8" t="str">
        <x:v>Sensitive</x:v>
      </x:c>
      <x:c r="G147" s="8" t="str">
        <x:v>Authorised actor or verified source</x:v>
      </x:c>
      <x:c r="H147" s="8" t="str">
        <x:v>Retain original source and revision</x:v>
      </x:c>
      <x:c r="I147" s="8" t="str">
        <x:v>By approved record class policy</x:v>
      </x:c>
    </x:row>
    <x:row r="148" ht="35.25" customHeight="1">
      <x:c r="A148" s="7" t="str">
        <x:v>Referral</x:v>
      </x:c>
      <x:c r="B148" s="7" t="str">
        <x:v>due_at</x:v>
      </x:c>
      <x:c r="C148" s="7" t="str">
        <x:v>timestamptz</x:v>
      </x:c>
      <x:c r="D148" s="7" t="str">
        <x:v>Optional</x:v>
      </x:c>
      <x:c r="E148" s="7" t="str">
        <x:v>Programme-derived deadline where a valid schedule exists. Format: date-time</x:v>
      </x:c>
      <x:c r="F148" s="7" t="str">
        <x:v>Sensitive</x:v>
      </x:c>
      <x:c r="G148" s="7" t="str">
        <x:v>Authorised actor or verified source</x:v>
      </x:c>
      <x:c r="H148" s="7" t="str">
        <x:v>Retain original source and revision</x:v>
      </x:c>
      <x:c r="I148" s="7" t="str">
        <x:v>By approved record class policy</x:v>
      </x:c>
    </x:row>
    <x:row r="149" ht="35.25" customHeight="1">
      <x:c r="A149" s="8" t="str">
        <x:v>Referral</x:v>
      </x:c>
      <x:c r="B149" s="8" t="str">
        <x:v>authority_id</x:v>
      </x:c>
      <x:c r="C149" s="8" t="str">
        <x:v>uuid</x:v>
      </x:c>
      <x:c r="D149" s="8" t="str">
        <x:v>Required</x:v>
      </x:c>
      <x:c r="E149" s="8" t="str">
        <x:v>Current matching processing authority required for this action. Format: uuid</x:v>
      </x:c>
      <x:c r="F149" s="8" t="str">
        <x:v>Sensitive</x:v>
      </x:c>
      <x:c r="G149" s="8" t="str">
        <x:v>Authorised actor or verified source</x:v>
      </x:c>
      <x:c r="H149" s="8" t="str">
        <x:v>Retain original source and revision</x:v>
      </x:c>
      <x:c r="I149" s="8" t="str">
        <x:v>By approved record class policy</x:v>
      </x:c>
    </x:row>
    <x:row r="150" ht="35.25" customHeight="1">
      <x:c r="A150" s="7" t="str">
        <x:v>Referral</x:v>
      </x:c>
      <x:c r="B150" s="7" t="str">
        <x:v>evidence_refs</x:v>
      </x:c>
      <x:c r="C150" s="7" t="str">
        <x:v>jsonb</x:v>
      </x:c>
      <x:c r="D150" s="7" t="str">
        <x:v>Required</x:v>
      </x:c>
      <x:c r="E150" s="7" t="str">
        <x:v>Controlled evidence links, without copying clinical payload into events. Type: array</x:v>
      </x:c>
      <x:c r="F150" s="7" t="str">
        <x:v>Sensitive</x:v>
      </x:c>
      <x:c r="G150" s="7" t="str">
        <x:v>Authorised actor or verified source</x:v>
      </x:c>
      <x:c r="H150" s="7" t="str">
        <x:v>Retain original source and revision</x:v>
      </x:c>
      <x:c r="I150" s="7" t="str">
        <x:v>By approved record class policy</x:v>
      </x:c>
    </x:row>
    <x:row r="151" ht="35.25" customHeight="1">
      <x:c r="A151" s="8" t="str">
        <x:v>Referral</x:v>
      </x:c>
      <x:c r="B151" s="8" t="str">
        <x:v>outcome_code</x:v>
      </x:c>
      <x:c r="C151" s="8" t="str">
        <x:v>text</x:v>
      </x:c>
      <x:c r="D151" s="8" t="str">
        <x:v>Optional</x:v>
      </x:c>
      <x:c r="E151" s="8" t="str">
        <x:v>Verified service or unresolved disposition; message delivery is insufficient. Type: string</x:v>
      </x:c>
      <x:c r="F151" s="8" t="str">
        <x:v>Sensitive</x:v>
      </x:c>
      <x:c r="G151" s="8" t="str">
        <x:v>Authorised actor or verified source</x:v>
      </x:c>
      <x:c r="H151" s="8" t="str">
        <x:v>Retain original source and revision</x:v>
      </x:c>
      <x:c r="I151" s="8" t="str">
        <x:v>By approved record class policy</x:v>
      </x:c>
    </x:row>
    <x:row r="152" ht="35.25" customHeight="1">
      <x:c r="A152" s="7" t="str">
        <x:v>ProviderCapability</x:v>
      </x:c>
      <x:c r="B152" s="7" t="str">
        <x:v>id</x:v>
      </x:c>
      <x:c r="C152" s="7" t="str">
        <x:v>uuid</x:v>
      </x:c>
      <x:c r="D152" s="7" t="str">
        <x:v>Required</x:v>
      </x:c>
      <x:c r="E152" s="7" t="str">
        <x:v>Stable platform resource identifier, independent of external patient identifiers. Format: uuid</x:v>
      </x:c>
      <x:c r="F152" s="7" t="str">
        <x:v>Configuration</x:v>
      </x:c>
      <x:c r="G152" s="7" t="str">
        <x:v>Server generated</x:v>
      </x:c>
      <x:c r="H152" s="7" t="str">
        <x:v>Retain original source and revision</x:v>
      </x:c>
      <x:c r="I152" s="7" t="str">
        <x:v>By approved record class policy</x:v>
      </x:c>
    </x:row>
    <x:row r="153" ht="35.25" customHeight="1">
      <x:c r="A153" s="8" t="str">
        <x:v>ProviderCapability</x:v>
      </x:c>
      <x:c r="B153" s="8" t="str">
        <x:v>tenant_id</x:v>
      </x:c>
      <x:c r="C153" s="8" t="str">
        <x:v>uuid</x:v>
      </x:c>
      <x:c r="D153" s="8" t="str">
        <x:v>Required</x:v>
      </x:c>
      <x:c r="E153" s="8" t="str">
        <x:v>Owning deployment boundary derived from verified server context. Format: uuid</x:v>
      </x:c>
      <x:c r="F153" s="8" t="str">
        <x:v>Configuration</x:v>
      </x:c>
      <x:c r="G153" s="8" t="str">
        <x:v>Server generated</x:v>
      </x:c>
      <x:c r="H153" s="8" t="str">
        <x:v>Retain original source and revision</x:v>
      </x:c>
      <x:c r="I153" s="8" t="str">
        <x:v>By approved record class policy</x:v>
      </x:c>
    </x:row>
    <x:row r="154" ht="35.25" customHeight="1">
      <x:c r="A154" s="7" t="str">
        <x:v>ProviderCapability</x:v>
      </x:c>
      <x:c r="B154" s="7" t="str">
        <x:v>version</x:v>
      </x:c>
      <x:c r="C154" s="7" t="str">
        <x:v>bigint</x:v>
      </x:c>
      <x:c r="D154" s="7" t="str">
        <x:v>Required</x:v>
      </x:c>
      <x:c r="E154" s="7" t="str">
        <x:v>Monotonically increasing resource version used for concurrency and revision binding. Type: integer</x:v>
      </x:c>
      <x:c r="F154" s="7" t="str">
        <x:v>Configuration</x:v>
      </x:c>
      <x:c r="G154" s="7" t="str">
        <x:v>Server generated</x:v>
      </x:c>
      <x:c r="H154" s="7" t="str">
        <x:v>Retain original source and revision</x:v>
      </x:c>
      <x:c r="I154" s="7" t="str">
        <x:v>By approved record class policy</x:v>
      </x:c>
    </x:row>
    <x:row r="155" ht="47.25" customHeight="1">
      <x:c r="A155" s="8" t="str">
        <x:v>ProviderCapability</x:v>
      </x:c>
      <x:c r="B155" s="8" t="str">
        <x:v>environment</x:v>
      </x:c>
      <x:c r="C155" s="8" t="str">
        <x:v>text</x:v>
      </x:c>
      <x:c r="D155" s="8" t="str">
        <x:v>Required</x:v>
      </x:c>
      <x:c r="E155" s="8" t="str">
        <x:v>Synthetic, test or production origin; environments must not exchange live credentials. Allowed values: synthetic, test, production</x:v>
      </x:c>
      <x:c r="F155" s="8" t="str">
        <x:v>Configuration</x:v>
      </x:c>
      <x:c r="G155" s="8" t="str">
        <x:v>Server generated</x:v>
      </x:c>
      <x:c r="H155" s="8" t="str">
        <x:v>Retain original source and revision</x:v>
      </x:c>
      <x:c r="I155" s="8" t="str">
        <x:v>By approved record class policy</x:v>
      </x:c>
    </x:row>
    <x:row r="156" ht="35.25" customHeight="1">
      <x:c r="A156" s="7" t="str">
        <x:v>ProviderCapability</x:v>
      </x:c>
      <x:c r="B156" s="7" t="str">
        <x:v>created_at</x:v>
      </x:c>
      <x:c r="C156" s="7" t="str">
        <x:v>timestamptz</x:v>
      </x:c>
      <x:c r="D156" s="7" t="str">
        <x:v>Required</x:v>
      </x:c>
      <x:c r="E156" s="7" t="str">
        <x:v>Server timestamp at original resource creation. Format: date-time</x:v>
      </x:c>
      <x:c r="F156" s="7" t="str">
        <x:v>Configuration</x:v>
      </x:c>
      <x:c r="G156" s="7" t="str">
        <x:v>Server generated</x:v>
      </x:c>
      <x:c r="H156" s="7" t="str">
        <x:v>Retain original source and revision</x:v>
      </x:c>
      <x:c r="I156" s="7" t="str">
        <x:v>By approved record class policy</x:v>
      </x:c>
    </x:row>
    <x:row r="157" ht="35.25" customHeight="1">
      <x:c r="A157" s="8" t="str">
        <x:v>ProviderCapability</x:v>
      </x:c>
      <x:c r="B157" s="8" t="str">
        <x:v>updated_at</x:v>
      </x:c>
      <x:c r="C157" s="8" t="str">
        <x:v>timestamptz</x:v>
      </x:c>
      <x:c r="D157" s="8" t="str">
        <x:v>Required</x:v>
      </x:c>
      <x:c r="E157" s="8" t="str">
        <x:v>Server timestamp at the latest current-pointer or lifecycle change. Format: date-time</x:v>
      </x:c>
      <x:c r="F157" s="8" t="str">
        <x:v>Configuration</x:v>
      </x:c>
      <x:c r="G157" s="8" t="str">
        <x:v>Server generated</x:v>
      </x:c>
      <x:c r="H157" s="8" t="str">
        <x:v>Retain original source and revision</x:v>
      </x:c>
      <x:c r="I157" s="8" t="str">
        <x:v>By approved record class policy</x:v>
      </x:c>
    </x:row>
    <x:row r="158" ht="30" customHeight="1">
      <x:c r="A158" s="7" t="str">
        <x:v>ProviderCapability</x:v>
      </x:c>
      <x:c r="B158" s="7" t="str">
        <x:v>provider_id</x:v>
      </x:c>
      <x:c r="C158" s="7" t="str">
        <x:v>text</x:v>
      </x:c>
      <x:c r="D158" s="7" t="str">
        <x:v>Required</x:v>
      </x:c>
      <x:c r="E158" s="7" t="str">
        <x:v>Accountable external provider identity. Type: string</x:v>
      </x:c>
      <x:c r="F158" s="7" t="str">
        <x:v>Configuration</x:v>
      </x:c>
      <x:c r="G158" s="7" t="str">
        <x:v>Authorised actor or verified source</x:v>
      </x:c>
      <x:c r="H158" s="7" t="str">
        <x:v>Retain original source and revision</x:v>
      </x:c>
      <x:c r="I158" s="7" t="str">
        <x:v>By approved record class policy</x:v>
      </x:c>
    </x:row>
    <x:row r="159" ht="30" customHeight="1">
      <x:c r="A159" s="8" t="str">
        <x:v>ProviderCapability</x:v>
      </x:c>
      <x:c r="B159" s="8" t="str">
        <x:v>capability_key</x:v>
      </x:c>
      <x:c r="C159" s="8" t="str">
        <x:v>text</x:v>
      </x:c>
      <x:c r="D159" s="8" t="str">
        <x:v>Required</x:v>
      </x:c>
      <x:c r="E159" s="8" t="str">
        <x:v>Stable provider-scoped capability identifier. Type: string</x:v>
      </x:c>
      <x:c r="F159" s="8" t="str">
        <x:v>Configuration</x:v>
      </x:c>
      <x:c r="G159" s="8" t="str">
        <x:v>Authorised actor or verified source</x:v>
      </x:c>
      <x:c r="H159" s="8" t="str">
        <x:v>Retain original source and revision</x:v>
      </x:c>
      <x:c r="I159" s="8" t="str">
        <x:v>By approved record class policy</x:v>
      </x:c>
    </x:row>
    <x:row r="160" ht="35.25" customHeight="1">
      <x:c r="A160" s="7" t="str">
        <x:v>ProviderCapability</x:v>
      </x:c>
      <x:c r="B160" s="7" t="str">
        <x:v>manifest_version</x:v>
      </x:c>
      <x:c r="C160" s="7" t="str">
        <x:v>text</x:v>
      </x:c>
      <x:c r="D160" s="7" t="str">
        <x:v>Required</x:v>
      </x:c>
      <x:c r="E160" s="7" t="str">
        <x:v>Immutable capability manifest selected for this invocation. Type: string</x:v>
      </x:c>
      <x:c r="F160" s="7" t="str">
        <x:v>Configuration</x:v>
      </x:c>
      <x:c r="G160" s="7" t="str">
        <x:v>Authorised actor or verified source</x:v>
      </x:c>
      <x:c r="H160" s="7" t="str">
        <x:v>Retain original source and revision</x:v>
      </x:c>
      <x:c r="I160" s="7" t="str">
        <x:v>By approved record class policy</x:v>
      </x:c>
    </x:row>
    <x:row r="161" ht="35.25" customHeight="1">
      <x:c r="A161" s="8" t="str">
        <x:v>ProviderCapability</x:v>
      </x:c>
      <x:c r="B161" s="8" t="str">
        <x:v>provider_release_id</x:v>
      </x:c>
      <x:c r="C161" s="8" t="str">
        <x:v>text</x:v>
      </x:c>
      <x:c r="D161" s="8" t="str">
        <x:v>Required</x:v>
      </x:c>
      <x:c r="E161" s="8" t="str">
        <x:v>Exact externally verifiable provider/model release identifier. Type: string</x:v>
      </x:c>
      <x:c r="F161" s="8" t="str">
        <x:v>Configuration</x:v>
      </x:c>
      <x:c r="G161" s="8" t="str">
        <x:v>Authorised actor or verified source</x:v>
      </x:c>
      <x:c r="H161" s="8" t="str">
        <x:v>Retain original source and revision</x:v>
      </x:c>
      <x:c r="I161" s="8" t="str">
        <x:v>By approved record class policy</x:v>
      </x:c>
    </x:row>
    <x:row r="162" ht="35.25" customHeight="1">
      <x:c r="A162" s="7" t="str">
        <x:v>ProviderCapability</x:v>
      </x:c>
      <x:c r="B162" s="7" t="str">
        <x:v>state</x:v>
      </x:c>
      <x:c r="C162" s="7" t="str">
        <x:v>text</x:v>
      </x:c>
      <x:c r="D162" s="7" t="str">
        <x:v>Required</x:v>
      </x:c>
      <x:c r="E162" s="7" t="str">
        <x:v>Allowed values: registered, verified, under_review, approved, active, suspended, retired</x:v>
      </x:c>
      <x:c r="F162" s="7" t="str">
        <x:v>Configuration</x:v>
      </x:c>
      <x:c r="G162" s="7" t="str">
        <x:v>Authorised actor or verified source</x:v>
      </x:c>
      <x:c r="H162" s="7" t="str">
        <x:v>Retain original source and revision</x:v>
      </x:c>
      <x:c r="I162" s="7" t="str">
        <x:v>By approved record class policy</x:v>
      </x:c>
    </x:row>
    <x:row r="163" ht="35.25" customHeight="1">
      <x:c r="A163" s="8" t="str">
        <x:v>ProviderCapability</x:v>
      </x:c>
      <x:c r="B163" s="8" t="str">
        <x:v>manifest_ref</x:v>
      </x:c>
      <x:c r="C163" s="8" t="str">
        <x:v>text</x:v>
      </x:c>
      <x:c r="D163" s="8" t="str">
        <x:v>Required</x:v>
      </x:c>
      <x:c r="E163" s="8" t="str">
        <x:v>Controlled reference to the immutable manifest or export package. Type: string</x:v>
      </x:c>
      <x:c r="F163" s="8" t="str">
        <x:v>Configuration</x:v>
      </x:c>
      <x:c r="G163" s="8" t="str">
        <x:v>Authorised actor or verified source</x:v>
      </x:c>
      <x:c r="H163" s="8" t="str">
        <x:v>Retain original source and revision</x:v>
      </x:c>
      <x:c r="I163" s="8" t="str">
        <x:v>By approved record class policy</x:v>
      </x:c>
    </x:row>
    <x:row r="164" ht="35.25" customHeight="1">
      <x:c r="A164" s="7" t="str">
        <x:v>ProviderCapability</x:v>
      </x:c>
      <x:c r="B164" s="7" t="str">
        <x:v>intended_use</x:v>
      </x:c>
      <x:c r="C164" s="7" t="str">
        <x:v>text</x:v>
      </x:c>
      <x:c r="D164" s="7" t="str">
        <x:v>Required</x:v>
      </x:c>
      <x:c r="E164" s="7" t="str">
        <x:v>Approved purpose, workflow and limits of a capability. Type: string</x:v>
      </x:c>
      <x:c r="F164" s="7" t="str">
        <x:v>Configuration</x:v>
      </x:c>
      <x:c r="G164" s="7" t="str">
        <x:v>Authorised actor or verified source</x:v>
      </x:c>
      <x:c r="H164" s="7" t="str">
        <x:v>Retain original source and revision</x:v>
      </x:c>
      <x:c r="I164" s="7" t="str">
        <x:v>By approved record class policy</x:v>
      </x:c>
    </x:row>
    <x:row r="165" ht="35.25" customHeight="1">
      <x:c r="A165" s="8" t="str">
        <x:v>ProviderCapability</x:v>
      </x:c>
      <x:c r="B165" s="8" t="str">
        <x:v>input_schema_ref</x:v>
      </x:c>
      <x:c r="C165" s="8" t="str">
        <x:v>text</x:v>
      </x:c>
      <x:c r="D165" s="8" t="str">
        <x:v>Required</x:v>
      </x:c>
      <x:c r="E165" s="8" t="str">
        <x:v>Pinned schema for the minimum permitted provider request. Type: string</x:v>
      </x:c>
      <x:c r="F165" s="8" t="str">
        <x:v>Configuration</x:v>
      </x:c>
      <x:c r="G165" s="8" t="str">
        <x:v>Authorised actor or verified source</x:v>
      </x:c>
      <x:c r="H165" s="8" t="str">
        <x:v>Retain original source and revision</x:v>
      </x:c>
      <x:c r="I165" s="8" t="str">
        <x:v>By approved record class policy</x:v>
      </x:c>
    </x:row>
    <x:row r="166" ht="35.25" customHeight="1">
      <x:c r="A166" s="7" t="str">
        <x:v>ProviderCapability</x:v>
      </x:c>
      <x:c r="B166" s="7" t="str">
        <x:v>output_schema_ref</x:v>
      </x:c>
      <x:c r="C166" s="7" t="str">
        <x:v>text</x:v>
      </x:c>
      <x:c r="D166" s="7" t="str">
        <x:v>Required</x:v>
      </x:c>
      <x:c r="E166" s="7" t="str">
        <x:v>Pinned schema and vocabulary for validating returned output. Type: string</x:v>
      </x:c>
      <x:c r="F166" s="7" t="str">
        <x:v>Configuration</x:v>
      </x:c>
      <x:c r="G166" s="7" t="str">
        <x:v>Authorised actor or verified source</x:v>
      </x:c>
      <x:c r="H166" s="7" t="str">
        <x:v>Retain original source and revision</x:v>
      </x:c>
      <x:c r="I166" s="7" t="str">
        <x:v>By approved record class policy</x:v>
      </x:c>
    </x:row>
    <x:row r="167" ht="35.25" customHeight="1">
      <x:c r="A167" s="8" t="str">
        <x:v>ProviderCapability</x:v>
      </x:c>
      <x:c r="B167" s="8" t="str">
        <x:v>population_rule_ref</x:v>
      </x:c>
      <x:c r="C167" s="8" t="str">
        <x:v>text</x:v>
      </x:c>
      <x:c r="D167" s="8" t="str">
        <x:v>Required</x:v>
      </x:c>
      <x:c r="E167" s="8" t="str">
        <x:v>Reviewed eligibility predicate for supported and excluded populations. Type: string</x:v>
      </x:c>
      <x:c r="F167" s="8" t="str">
        <x:v>Configuration</x:v>
      </x:c>
      <x:c r="G167" s="8" t="str">
        <x:v>Authorised actor or verified source</x:v>
      </x:c>
      <x:c r="H167" s="8" t="str">
        <x:v>Retain original source and revision</x:v>
      </x:c>
      <x:c r="I167" s="8" t="str">
        <x:v>By approved record class policy</x:v>
      </x:c>
    </x:row>
    <x:row r="168" ht="35.25" customHeight="1">
      <x:c r="A168" s="7" t="str">
        <x:v>ProviderCapability</x:v>
      </x:c>
      <x:c r="B168" s="7" t="str">
        <x:v>approval_refs</x:v>
      </x:c>
      <x:c r="C168" s="7" t="str">
        <x:v>jsonb</x:v>
      </x:c>
      <x:c r="D168" s="7" t="str">
        <x:v>Required</x:v>
      </x:c>
      <x:c r="E168" s="7" t="str">
        <x:v>Required technical, programme, clinical or privacy approval evidence. Type: array</x:v>
      </x:c>
      <x:c r="F168" s="7" t="str">
        <x:v>Configuration</x:v>
      </x:c>
      <x:c r="G168" s="7" t="str">
        <x:v>Authorised actor or verified source</x:v>
      </x:c>
      <x:c r="H168" s="7" t="str">
        <x:v>Retain original source and revision</x:v>
      </x:c>
      <x:c r="I168" s="7" t="str">
        <x:v>By approved record class policy</x:v>
      </x:c>
    </x:row>
    <x:row r="169" ht="35.25" customHeight="1">
      <x:c r="A169" s="8" t="str">
        <x:v>ProviderCapability</x:v>
      </x:c>
      <x:c r="B169" s="8" t="str">
        <x:v>region</x:v>
      </x:c>
      <x:c r="C169" s="8" t="str">
        <x:v>text</x:v>
      </x:c>
      <x:c r="D169" s="8" t="str">
        <x:v>Required</x:v>
      </x:c>
      <x:c r="E169" s="8" t="str">
        <x:v>Approved actual processing location, checked before routing. Type: string</x:v>
      </x:c>
      <x:c r="F169" s="8" t="str">
        <x:v>Configuration</x:v>
      </x:c>
      <x:c r="G169" s="8" t="str">
        <x:v>Authorised actor or verified source</x:v>
      </x:c>
      <x:c r="H169" s="8" t="str">
        <x:v>Retain original source and revision</x:v>
      </x:c>
      <x:c r="I169" s="8" t="str">
        <x:v>By approved record class policy</x:v>
      </x:c>
    </x:row>
    <x:row r="170" ht="35.25" customHeight="1">
      <x:c r="A170" s="7" t="str">
        <x:v>ProviderCapability</x:v>
      </x:c>
      <x:c r="B170" s="7" t="str">
        <x:v>cost_ceiling_minor</x:v>
      </x:c>
      <x:c r="C170" s="7" t="str">
        <x:v>bigint</x:v>
      </x:c>
      <x:c r="D170" s="7" t="str">
        <x:v>Required</x:v>
      </x:c>
      <x:c r="E170" s="7" t="str">
        <x:v>Maximum approved charge in integer currency minor units. Type: integer</x:v>
      </x:c>
      <x:c r="F170" s="7" t="str">
        <x:v>Configuration</x:v>
      </x:c>
      <x:c r="G170" s="7" t="str">
        <x:v>Authorised actor or verified source</x:v>
      </x:c>
      <x:c r="H170" s="7" t="str">
        <x:v>Retain original source and revision</x:v>
      </x:c>
      <x:c r="I170" s="7" t="str">
        <x:v>By approved record class policy</x:v>
      </x:c>
    </x:row>
    <x:row r="171" ht="35.25" customHeight="1">
      <x:c r="A171" s="8" t="str">
        <x:v>ProviderCapability</x:v>
      </x:c>
      <x:c r="B171" s="8" t="str">
        <x:v>currency</x:v>
      </x:c>
      <x:c r="C171" s="8" t="str">
        <x:v>text</x:v>
      </x:c>
      <x:c r="D171" s="8" t="str">
        <x:v>Required</x:v>
      </x:c>
      <x:c r="E171" s="8" t="str">
        <x:v>Explicit currency for charges; never infer from deployment location. Type: string</x:v>
      </x:c>
      <x:c r="F171" s="8" t="str">
        <x:v>Configuration</x:v>
      </x:c>
      <x:c r="G171" s="8" t="str">
        <x:v>Authorised actor or verified source</x:v>
      </x:c>
      <x:c r="H171" s="8" t="str">
        <x:v>Retain original source and revision</x:v>
      </x:c>
      <x:c r="I171" s="8" t="str">
        <x:v>By approved record class policy</x:v>
      </x:c>
    </x:row>
    <x:row r="172" ht="35.25" customHeight="1">
      <x:c r="A172" s="7" t="str">
        <x:v>AIRequest</x:v>
      </x:c>
      <x:c r="B172" s="7" t="str">
        <x:v>id</x:v>
      </x:c>
      <x:c r="C172" s="7" t="str">
        <x:v>uuid</x:v>
      </x:c>
      <x:c r="D172" s="7" t="str">
        <x:v>Required</x:v>
      </x:c>
      <x:c r="E172" s="7" t="str">
        <x:v>Stable platform resource identifier, independent of external patient identifiers. Format: uuid</x:v>
      </x:c>
      <x:c r="F172" s="7" t="str">
        <x:v>Sensitive</x:v>
      </x:c>
      <x:c r="G172" s="7" t="str">
        <x:v>Server generated</x:v>
      </x:c>
      <x:c r="H172" s="7" t="str">
        <x:v>Retain original source and revision</x:v>
      </x:c>
      <x:c r="I172" s="7" t="str">
        <x:v>By approved record class policy</x:v>
      </x:c>
    </x:row>
    <x:row r="173" ht="35.25" customHeight="1">
      <x:c r="A173" s="8" t="str">
        <x:v>AIRequest</x:v>
      </x:c>
      <x:c r="B173" s="8" t="str">
        <x:v>tenant_id</x:v>
      </x:c>
      <x:c r="C173" s="8" t="str">
        <x:v>uuid</x:v>
      </x:c>
      <x:c r="D173" s="8" t="str">
        <x:v>Required</x:v>
      </x:c>
      <x:c r="E173" s="8" t="str">
        <x:v>Owning deployment boundary derived from verified server context. Format: uuid</x:v>
      </x:c>
      <x:c r="F173" s="8" t="str">
        <x:v>Sensitive</x:v>
      </x:c>
      <x:c r="G173" s="8" t="str">
        <x:v>Server generated</x:v>
      </x:c>
      <x:c r="H173" s="8" t="str">
        <x:v>Retain original source and revision</x:v>
      </x:c>
      <x:c r="I173" s="8" t="str">
        <x:v>By approved record class policy</x:v>
      </x:c>
    </x:row>
    <x:row r="174" ht="35.25" customHeight="1">
      <x:c r="A174" s="7" t="str">
        <x:v>AIRequest</x:v>
      </x:c>
      <x:c r="B174" s="7" t="str">
        <x:v>version</x:v>
      </x:c>
      <x:c r="C174" s="7" t="str">
        <x:v>bigint</x:v>
      </x:c>
      <x:c r="D174" s="7" t="str">
        <x:v>Required</x:v>
      </x:c>
      <x:c r="E174" s="7" t="str">
        <x:v>Monotonically increasing resource version used for concurrency and revision binding. Type: integer</x:v>
      </x:c>
      <x:c r="F174" s="7" t="str">
        <x:v>Sensitive</x:v>
      </x:c>
      <x:c r="G174" s="7" t="str">
        <x:v>Server generated</x:v>
      </x:c>
      <x:c r="H174" s="7" t="str">
        <x:v>Retain original source and revision</x:v>
      </x:c>
      <x:c r="I174" s="7" t="str">
        <x:v>By approved record class policy</x:v>
      </x:c>
    </x:row>
    <x:row r="175" ht="47.25" customHeight="1">
      <x:c r="A175" s="8" t="str">
        <x:v>AIRequest</x:v>
      </x:c>
      <x:c r="B175" s="8" t="str">
        <x:v>environment</x:v>
      </x:c>
      <x:c r="C175" s="8" t="str">
        <x:v>text</x:v>
      </x:c>
      <x:c r="D175" s="8" t="str">
        <x:v>Required</x:v>
      </x:c>
      <x:c r="E175" s="8" t="str">
        <x:v>Synthetic, test or production origin; environments must not exchange live credentials. Allowed values: synthetic, test, production</x:v>
      </x:c>
      <x:c r="F175" s="8" t="str">
        <x:v>Sensitive</x:v>
      </x:c>
      <x:c r="G175" s="8" t="str">
        <x:v>Server generated</x:v>
      </x:c>
      <x:c r="H175" s="8" t="str">
        <x:v>Retain original source and revision</x:v>
      </x:c>
      <x:c r="I175" s="8" t="str">
        <x:v>By approved record class policy</x:v>
      </x:c>
    </x:row>
    <x:row r="176" ht="35.25" customHeight="1">
      <x:c r="A176" s="7" t="str">
        <x:v>AIRequest</x:v>
      </x:c>
      <x:c r="B176" s="7" t="str">
        <x:v>created_at</x:v>
      </x:c>
      <x:c r="C176" s="7" t="str">
        <x:v>timestamptz</x:v>
      </x:c>
      <x:c r="D176" s="7" t="str">
        <x:v>Required</x:v>
      </x:c>
      <x:c r="E176" s="7" t="str">
        <x:v>Server timestamp at original resource creation. Format: date-time</x:v>
      </x:c>
      <x:c r="F176" s="7" t="str">
        <x:v>Sensitive</x:v>
      </x:c>
      <x:c r="G176" s="7" t="str">
        <x:v>Server generated</x:v>
      </x:c>
      <x:c r="H176" s="7" t="str">
        <x:v>Retain original source and revision</x:v>
      </x:c>
      <x:c r="I176" s="7" t="str">
        <x:v>By approved record class policy</x:v>
      </x:c>
    </x:row>
    <x:row r="177" ht="35.25" customHeight="1">
      <x:c r="A177" s="8" t="str">
        <x:v>AIRequest</x:v>
      </x:c>
      <x:c r="B177" s="8" t="str">
        <x:v>updated_at</x:v>
      </x:c>
      <x:c r="C177" s="8" t="str">
        <x:v>timestamptz</x:v>
      </x:c>
      <x:c r="D177" s="8" t="str">
        <x:v>Required</x:v>
      </x:c>
      <x:c r="E177" s="8" t="str">
        <x:v>Server timestamp at the latest current-pointer or lifecycle change. Format: date-time</x:v>
      </x:c>
      <x:c r="F177" s="8" t="str">
        <x:v>Sensitive</x:v>
      </x:c>
      <x:c r="G177" s="8" t="str">
        <x:v>Server generated</x:v>
      </x:c>
      <x:c r="H177" s="8" t="str">
        <x:v>Retain original source and revision</x:v>
      </x:c>
      <x:c r="I177" s="8" t="str">
        <x:v>By approved record class policy</x:v>
      </x:c>
    </x:row>
    <x:row r="178" ht="35.25" customHeight="1">
      <x:c r="A178" s="7" t="str">
        <x:v>AIRequest</x:v>
      </x:c>
      <x:c r="B178" s="7" t="str">
        <x:v>person_id</x:v>
      </x:c>
      <x:c r="C178" s="7" t="str">
        <x:v>uuid</x:v>
      </x:c>
      <x:c r="D178" s="7" t="str">
        <x:v>Required</x:v>
      </x:c>
      <x:c r="E178" s="7" t="str">
        <x:v>Subject person reference; must agree with the encounter and action context. Format: uuid</x:v>
      </x:c>
      <x:c r="F178" s="7" t="str">
        <x:v>Sensitive</x:v>
      </x:c>
      <x:c r="G178" s="7" t="str">
        <x:v>Authorised actor or verified source</x:v>
      </x:c>
      <x:c r="H178" s="7" t="str">
        <x:v>Retain original source and revision</x:v>
      </x:c>
      <x:c r="I178" s="7" t="str">
        <x:v>By approved record class policy</x:v>
      </x:c>
    </x:row>
    <x:row r="179" ht="35.25" customHeight="1">
      <x:c r="A179" s="8" t="str">
        <x:v>AIRequest</x:v>
      </x:c>
      <x:c r="B179" s="8" t="str">
        <x:v>encounter_id</x:v>
      </x:c>
      <x:c r="C179" s="8" t="str">
        <x:v>uuid</x:v>
      </x:c>
      <x:c r="D179" s="8" t="str">
        <x:v>Required</x:v>
      </x:c>
      <x:c r="E179" s="8" t="str">
        <x:v>Single-person encounter to which this resource belongs. Format: uuid</x:v>
      </x:c>
      <x:c r="F179" s="8" t="str">
        <x:v>Sensitive</x:v>
      </x:c>
      <x:c r="G179" s="8" t="str">
        <x:v>Authorised actor or verified source</x:v>
      </x:c>
      <x:c r="H179" s="8" t="str">
        <x:v>Retain original source and revision</x:v>
      </x:c>
      <x:c r="I179" s="8" t="str">
        <x:v>By approved record class policy</x:v>
      </x:c>
    </x:row>
    <x:row r="180" ht="35.25" customHeight="1">
      <x:c r="A180" s="7" t="str">
        <x:v>AIRequest</x:v>
      </x:c>
      <x:c r="B180" s="7" t="str">
        <x:v>capability_id</x:v>
      </x:c>
      <x:c r="C180" s="7" t="str">
        <x:v>uuid</x:v>
      </x:c>
      <x:c r="D180" s="7" t="str">
        <x:v>Required</x:v>
      </x:c>
      <x:c r="E180" s="7" t="str">
        <x:v>Activated provider capability version used for the request. Format: uuid</x:v>
      </x:c>
      <x:c r="F180" s="7" t="str">
        <x:v>Sensitive</x:v>
      </x:c>
      <x:c r="G180" s="7" t="str">
        <x:v>Authorised actor or verified source</x:v>
      </x:c>
      <x:c r="H180" s="7" t="str">
        <x:v>Retain original source and revision</x:v>
      </x:c>
      <x:c r="I180" s="7" t="str">
        <x:v>By approved record class policy</x:v>
      </x:c>
    </x:row>
    <x:row r="181" ht="35.25" customHeight="1">
      <x:c r="A181" s="8" t="str">
        <x:v>AIRequest</x:v>
      </x:c>
      <x:c r="B181" s="8" t="str">
        <x:v>manifest_version</x:v>
      </x:c>
      <x:c r="C181" s="8" t="str">
        <x:v>text</x:v>
      </x:c>
      <x:c r="D181" s="8" t="str">
        <x:v>Required</x:v>
      </x:c>
      <x:c r="E181" s="8" t="str">
        <x:v>Immutable capability manifest selected for this invocation. Type: string</x:v>
      </x:c>
      <x:c r="F181" s="8" t="str">
        <x:v>Sensitive</x:v>
      </x:c>
      <x:c r="G181" s="8" t="str">
        <x:v>Authorised actor or verified source</x:v>
      </x:c>
      <x:c r="H181" s="8" t="str">
        <x:v>Retain original source and revision</x:v>
      </x:c>
      <x:c r="I181" s="8" t="str">
        <x:v>By approved record class policy</x:v>
      </x:c>
    </x:row>
    <x:row r="182" ht="35.25" customHeight="1">
      <x:c r="A182" s="7" t="str">
        <x:v>AIRequest</x:v>
      </x:c>
      <x:c r="B182" s="7" t="str">
        <x:v>input_refs</x:v>
      </x:c>
      <x:c r="C182" s="7" t="str">
        <x:v>jsonb</x:v>
      </x:c>
      <x:c r="D182" s="7" t="str">
        <x:v>Required</x:v>
      </x:c>
      <x:c r="E182" s="7" t="str">
        <x:v>Exact input resource IDs and versions bound to the action. Type: array</x:v>
      </x:c>
      <x:c r="F182" s="7" t="str">
        <x:v>Sensitive</x:v>
      </x:c>
      <x:c r="G182" s="7" t="str">
        <x:v>Authorised actor or verified source</x:v>
      </x:c>
      <x:c r="H182" s="7" t="str">
        <x:v>Retain original source and revision</x:v>
      </x:c>
      <x:c r="I182" s="7" t="str">
        <x:v>By approved record class policy</x:v>
      </x:c>
    </x:row>
    <x:row r="183" ht="35.25" customHeight="1">
      <x:c r="A183" s="8" t="str">
        <x:v>AIRequest</x:v>
      </x:c>
      <x:c r="B183" s="8" t="str">
        <x:v>input_hash</x:v>
      </x:c>
      <x:c r="C183" s="8" t="str">
        <x:v>text</x:v>
      </x:c>
      <x:c r="D183" s="8" t="str">
        <x:v>Required</x:v>
      </x:c>
      <x:c r="E183" s="8" t="str">
        <x:v>Digest of canonical input bytes for integrity and provenance. Type: string</x:v>
      </x:c>
      <x:c r="F183" s="8" t="str">
        <x:v>Sensitive</x:v>
      </x:c>
      <x:c r="G183" s="8" t="str">
        <x:v>Authorised actor or verified source</x:v>
      </x:c>
      <x:c r="H183" s="8" t="str">
        <x:v>Retain original source and revision</x:v>
      </x:c>
      <x:c r="I183" s="8" t="str">
        <x:v>By approved record class policy</x:v>
      </x:c>
    </x:row>
    <x:row r="184" ht="35.25" customHeight="1">
      <x:c r="A184" s="7" t="str">
        <x:v>AIRequest</x:v>
      </x:c>
      <x:c r="B184" s="7" t="str">
        <x:v>authority_id</x:v>
      </x:c>
      <x:c r="C184" s="7" t="str">
        <x:v>uuid</x:v>
      </x:c>
      <x:c r="D184" s="7" t="str">
        <x:v>Required</x:v>
      </x:c>
      <x:c r="E184" s="7" t="str">
        <x:v>Current matching processing authority required for this action. Format: uuid</x:v>
      </x:c>
      <x:c r="F184" s="7" t="str">
        <x:v>Sensitive</x:v>
      </x:c>
      <x:c r="G184" s="7" t="str">
        <x:v>Authorised actor or verified source</x:v>
      </x:c>
      <x:c r="H184" s="7" t="str">
        <x:v>Retain original source and revision</x:v>
      </x:c>
      <x:c r="I184" s="7" t="str">
        <x:v>By approved record class policy</x:v>
      </x:c>
    </x:row>
    <x:row r="185" ht="35.25" customHeight="1">
      <x:c r="A185" s="8" t="str">
        <x:v>AIRequest</x:v>
      </x:c>
      <x:c r="B185" s="8" t="str">
        <x:v>state</x:v>
      </x:c>
      <x:c r="C185" s="8" t="str">
        <x:v>text</x:v>
      </x:c>
      <x:c r="D185" s="8" t="str">
        <x:v>Required</x:v>
      </x:c>
      <x:c r="E185" s="8" t="str">
        <x:v>Allowed values: prepared, queued, running, succeeded, unable_to_assess, failed, cancelling, cancelled</x:v>
      </x:c>
      <x:c r="F185" s="8" t="str">
        <x:v>Sensitive</x:v>
      </x:c>
      <x:c r="G185" s="8" t="str">
        <x:v>Authorised actor or verified source</x:v>
      </x:c>
      <x:c r="H185" s="8" t="str">
        <x:v>Retain original source and revision</x:v>
      </x:c>
      <x:c r="I185" s="8" t="str">
        <x:v>By approved record class policy</x:v>
      </x:c>
    </x:row>
    <x:row r="186" ht="35.25" customHeight="1">
      <x:c r="A186" s="7" t="str">
        <x:v>AIRequest</x:v>
      </x:c>
      <x:c r="B186" s="7" t="str">
        <x:v>deadline_at</x:v>
      </x:c>
      <x:c r="C186" s="7" t="str">
        <x:v>timestamptz</x:v>
      </x:c>
      <x:c r="D186" s="7" t="str">
        <x:v>Required</x:v>
      </x:c>
      <x:c r="E186" s="7" t="str">
        <x:v>Maximum execution deadline; timeout is not a clinical result. Format: date-time</x:v>
      </x:c>
      <x:c r="F186" s="7" t="str">
        <x:v>Sensitive</x:v>
      </x:c>
      <x:c r="G186" s="7" t="str">
        <x:v>Authorised actor or verified source</x:v>
      </x:c>
      <x:c r="H186" s="7" t="str">
        <x:v>Retain original source and revision</x:v>
      </x:c>
      <x:c r="I186" s="7" t="str">
        <x:v>By approved record class policy</x:v>
      </x:c>
    </x:row>
    <x:row r="187" ht="35.25" customHeight="1">
      <x:c r="A187" s="8" t="str">
        <x:v>AIRequest</x:v>
      </x:c>
      <x:c r="B187" s="8" t="str">
        <x:v>max_cost_minor</x:v>
      </x:c>
      <x:c r="C187" s="8" t="str">
        <x:v>bigint</x:v>
      </x:c>
      <x:c r="D187" s="8" t="str">
        <x:v>Required</x:v>
      </x:c>
      <x:c r="E187" s="8" t="str">
        <x:v>Reserved upper charge limit in the declared currency. Type: integer</x:v>
      </x:c>
      <x:c r="F187" s="8" t="str">
        <x:v>Sensitive</x:v>
      </x:c>
      <x:c r="G187" s="8" t="str">
        <x:v>Authorised actor or verified source</x:v>
      </x:c>
      <x:c r="H187" s="8" t="str">
        <x:v>Retain original source and revision</x:v>
      </x:c>
      <x:c r="I187" s="8" t="str">
        <x:v>By approved record class policy</x:v>
      </x:c>
    </x:row>
    <x:row r="188" ht="35.25" customHeight="1">
      <x:c r="A188" s="7" t="str">
        <x:v>AIRequest</x:v>
      </x:c>
      <x:c r="B188" s="7" t="str">
        <x:v>currency</x:v>
      </x:c>
      <x:c r="C188" s="7" t="str">
        <x:v>text</x:v>
      </x:c>
      <x:c r="D188" s="7" t="str">
        <x:v>Required</x:v>
      </x:c>
      <x:c r="E188" s="7" t="str">
        <x:v>Explicit currency for charges; never infer from deployment location. Type: string</x:v>
      </x:c>
      <x:c r="F188" s="7" t="str">
        <x:v>Sensitive</x:v>
      </x:c>
      <x:c r="G188" s="7" t="str">
        <x:v>Authorised actor or verified source</x:v>
      </x:c>
      <x:c r="H188" s="7" t="str">
        <x:v>Retain original source and revision</x:v>
      </x:c>
      <x:c r="I188" s="7" t="str">
        <x:v>By approved record class policy</x:v>
      </x:c>
    </x:row>
    <x:row r="189" ht="35.25" customHeight="1">
      <x:c r="A189" s="8" t="str">
        <x:v>AIRequest</x:v>
      </x:c>
      <x:c r="B189" s="8" t="str">
        <x:v>result_id</x:v>
      </x:c>
      <x:c r="C189" s="8" t="str">
        <x:v>uuid</x:v>
      </x:c>
      <x:c r="D189" s="8" t="str">
        <x:v>Optional</x:v>
      </x:c>
      <x:c r="E189" s="8" t="str">
        <x:v>Selected validated result, if the request produced one. Format: uuid</x:v>
      </x:c>
      <x:c r="F189" s="8" t="str">
        <x:v>Sensitive</x:v>
      </x:c>
      <x:c r="G189" s="8" t="str">
        <x:v>Authorised actor or verified source</x:v>
      </x:c>
      <x:c r="H189" s="8" t="str">
        <x:v>Retain original source and revision</x:v>
      </x:c>
      <x:c r="I189" s="8" t="str">
        <x:v>By approved record class policy</x:v>
      </x:c>
    </x:row>
    <x:row r="190" ht="35.25" customHeight="1">
      <x:c r="A190" s="7" t="str">
        <x:v>AIRequest</x:v>
      </x:c>
      <x:c r="B190" s="7" t="str">
        <x:v>failure_code</x:v>
      </x:c>
      <x:c r="C190" s="7" t="str">
        <x:v>text</x:v>
      </x:c>
      <x:c r="D190" s="7" t="str">
        <x:v>Optional</x:v>
      </x:c>
      <x:c r="E190" s="7" t="str">
        <x:v>Governed nonclinical failure code distinct from inability to assess. Type: string</x:v>
      </x:c>
      <x:c r="F190" s="7" t="str">
        <x:v>Sensitive</x:v>
      </x:c>
      <x:c r="G190" s="7" t="str">
        <x:v>Authorised actor or verified source</x:v>
      </x:c>
      <x:c r="H190" s="7" t="str">
        <x:v>Retain original source and revision</x:v>
      </x:c>
      <x:c r="I190" s="7" t="str">
        <x:v>By approved record class policy</x:v>
      </x:c>
    </x:row>
    <x:row r="191" ht="35.25" customHeight="1">
      <x:c r="A191" s="8" t="str">
        <x:v>AIResult</x:v>
      </x:c>
      <x:c r="B191" s="8" t="str">
        <x:v>id</x:v>
      </x:c>
      <x:c r="C191" s="8" t="str">
        <x:v>uuid</x:v>
      </x:c>
      <x:c r="D191" s="8" t="str">
        <x:v>Required</x:v>
      </x:c>
      <x:c r="E191" s="8" t="str">
        <x:v>Stable platform resource identifier, independent of external patient identifiers. Format: uuid</x:v>
      </x:c>
      <x:c r="F191" s="8" t="str">
        <x:v>Sensitive</x:v>
      </x:c>
      <x:c r="G191" s="8" t="str">
        <x:v>Server generated</x:v>
      </x:c>
      <x:c r="H191" s="8" t="str">
        <x:v>Retain original source and revision</x:v>
      </x:c>
      <x:c r="I191" s="8" t="str">
        <x:v>By approved record class policy</x:v>
      </x:c>
    </x:row>
    <x:row r="192" ht="35.25" customHeight="1">
      <x:c r="A192" s="7" t="str">
        <x:v>AIResult</x:v>
      </x:c>
      <x:c r="B192" s="7" t="str">
        <x:v>tenant_id</x:v>
      </x:c>
      <x:c r="C192" s="7" t="str">
        <x:v>uuid</x:v>
      </x:c>
      <x:c r="D192" s="7" t="str">
        <x:v>Required</x:v>
      </x:c>
      <x:c r="E192" s="7" t="str">
        <x:v>Owning deployment boundary derived from verified server context. Format: uuid</x:v>
      </x:c>
      <x:c r="F192" s="7" t="str">
        <x:v>Sensitive</x:v>
      </x:c>
      <x:c r="G192" s="7" t="str">
        <x:v>Server generated</x:v>
      </x:c>
      <x:c r="H192" s="7" t="str">
        <x:v>Retain original source and revision</x:v>
      </x:c>
      <x:c r="I192" s="7" t="str">
        <x:v>By approved record class policy</x:v>
      </x:c>
    </x:row>
    <x:row r="193" ht="35.25" customHeight="1">
      <x:c r="A193" s="8" t="str">
        <x:v>AIResult</x:v>
      </x:c>
      <x:c r="B193" s="8" t="str">
        <x:v>version</x:v>
      </x:c>
      <x:c r="C193" s="8" t="str">
        <x:v>bigint</x:v>
      </x:c>
      <x:c r="D193" s="8" t="str">
        <x:v>Required</x:v>
      </x:c>
      <x:c r="E193" s="8" t="str">
        <x:v>Monotonically increasing resource version used for concurrency and revision binding. Type: integer</x:v>
      </x:c>
      <x:c r="F193" s="8" t="str">
        <x:v>Sensitive</x:v>
      </x:c>
      <x:c r="G193" s="8" t="str">
        <x:v>Server generated</x:v>
      </x:c>
      <x:c r="H193" s="8" t="str">
        <x:v>Retain original source and revision</x:v>
      </x:c>
      <x:c r="I193" s="8" t="str">
        <x:v>By approved record class policy</x:v>
      </x:c>
    </x:row>
    <x:row r="194" ht="47.25" customHeight="1">
      <x:c r="A194" s="7" t="str">
        <x:v>AIResult</x:v>
      </x:c>
      <x:c r="B194" s="7" t="str">
        <x:v>environment</x:v>
      </x:c>
      <x:c r="C194" s="7" t="str">
        <x:v>text</x:v>
      </x:c>
      <x:c r="D194" s="7" t="str">
        <x:v>Required</x:v>
      </x:c>
      <x:c r="E194" s="7" t="str">
        <x:v>Synthetic, test or production origin; environments must not exchange live credentials. Allowed values: synthetic, test, production</x:v>
      </x:c>
      <x:c r="F194" s="7" t="str">
        <x:v>Sensitive</x:v>
      </x:c>
      <x:c r="G194" s="7" t="str">
        <x:v>Server generated</x:v>
      </x:c>
      <x:c r="H194" s="7" t="str">
        <x:v>Retain original source and revision</x:v>
      </x:c>
      <x:c r="I194" s="7" t="str">
        <x:v>By approved record class policy</x:v>
      </x:c>
    </x:row>
    <x:row r="195" ht="35.25" customHeight="1">
      <x:c r="A195" s="8" t="str">
        <x:v>AIResult</x:v>
      </x:c>
      <x:c r="B195" s="8" t="str">
        <x:v>created_at</x:v>
      </x:c>
      <x:c r="C195" s="8" t="str">
        <x:v>timestamptz</x:v>
      </x:c>
      <x:c r="D195" s="8" t="str">
        <x:v>Required</x:v>
      </x:c>
      <x:c r="E195" s="8" t="str">
        <x:v>Server timestamp at original resource creation. Format: date-time</x:v>
      </x:c>
      <x:c r="F195" s="8" t="str">
        <x:v>Sensitive</x:v>
      </x:c>
      <x:c r="G195" s="8" t="str">
        <x:v>Server generated</x:v>
      </x:c>
      <x:c r="H195" s="8" t="str">
        <x:v>Retain original source and revision</x:v>
      </x:c>
      <x:c r="I195" s="8" t="str">
        <x:v>By approved record class policy</x:v>
      </x:c>
    </x:row>
    <x:row r="196" ht="35.25" customHeight="1">
      <x:c r="A196" s="7" t="str">
        <x:v>AIResult</x:v>
      </x:c>
      <x:c r="B196" s="7" t="str">
        <x:v>updated_at</x:v>
      </x:c>
      <x:c r="C196" s="7" t="str">
        <x:v>timestamptz</x:v>
      </x:c>
      <x:c r="D196" s="7" t="str">
        <x:v>Required</x:v>
      </x:c>
      <x:c r="E196" s="7" t="str">
        <x:v>Server timestamp at the latest current-pointer or lifecycle change. Format: date-time</x:v>
      </x:c>
      <x:c r="F196" s="7" t="str">
        <x:v>Sensitive</x:v>
      </x:c>
      <x:c r="G196" s="7" t="str">
        <x:v>Server generated</x:v>
      </x:c>
      <x:c r="H196" s="7" t="str">
        <x:v>Retain original source and revision</x:v>
      </x:c>
      <x:c r="I196" s="7" t="str">
        <x:v>By approved record class policy</x:v>
      </x:c>
    </x:row>
    <x:row r="197" ht="35.25" customHeight="1">
      <x:c r="A197" s="8" t="str">
        <x:v>AIResult</x:v>
      </x:c>
      <x:c r="B197" s="8" t="str">
        <x:v>request_id</x:v>
      </x:c>
      <x:c r="C197" s="8" t="str">
        <x:v>uuid</x:v>
      </x:c>
      <x:c r="D197" s="8" t="str">
        <x:v>Required</x:v>
      </x:c>
      <x:c r="E197" s="8" t="str">
        <x:v>Original invocation to which the result is correlated. Format: uuid</x:v>
      </x:c>
      <x:c r="F197" s="8" t="str">
        <x:v>Sensitive</x:v>
      </x:c>
      <x:c r="G197" s="8" t="str">
        <x:v>Authorised actor or verified source</x:v>
      </x:c>
      <x:c r="H197" s="8" t="str">
        <x:v>Retain original source and revision</x:v>
      </x:c>
      <x:c r="I197" s="8" t="str">
        <x:v>By approved record class policy</x:v>
      </x:c>
    </x:row>
    <x:row r="198" ht="35.25" customHeight="1">
      <x:c r="A198" s="7" t="str">
        <x:v>AIResult</x:v>
      </x:c>
      <x:c r="B198" s="7" t="str">
        <x:v>provider_release_id</x:v>
      </x:c>
      <x:c r="C198" s="7" t="str">
        <x:v>text</x:v>
      </x:c>
      <x:c r="D198" s="7" t="str">
        <x:v>Required</x:v>
      </x:c>
      <x:c r="E198" s="7" t="str">
        <x:v>Exact externally verifiable provider/model release identifier. Type: string</x:v>
      </x:c>
      <x:c r="F198" s="7" t="str">
        <x:v>Sensitive</x:v>
      </x:c>
      <x:c r="G198" s="7" t="str">
        <x:v>Authorised actor or verified source</x:v>
      </x:c>
      <x:c r="H198" s="7" t="str">
        <x:v>Retain original source and revision</x:v>
      </x:c>
      <x:c r="I198" s="7" t="str">
        <x:v>By approved record class policy</x:v>
      </x:c>
    </x:row>
    <x:row r="199" ht="35.25" customHeight="1">
      <x:c r="A199" s="8" t="str">
        <x:v>AIResult</x:v>
      </x:c>
      <x:c r="B199" s="8" t="str">
        <x:v>output_schema_ref</x:v>
      </x:c>
      <x:c r="C199" s="8" t="str">
        <x:v>text</x:v>
      </x:c>
      <x:c r="D199" s="8" t="str">
        <x:v>Required</x:v>
      </x:c>
      <x:c r="E199" s="8" t="str">
        <x:v>Pinned schema and vocabulary for validating returned output. Type: string</x:v>
      </x:c>
      <x:c r="F199" s="8" t="str">
        <x:v>Sensitive</x:v>
      </x:c>
      <x:c r="G199" s="8" t="str">
        <x:v>Authorised actor or verified source</x:v>
      </x:c>
      <x:c r="H199" s="8" t="str">
        <x:v>Retain original source and revision</x:v>
      </x:c>
      <x:c r="I199" s="8" t="str">
        <x:v>By approved record class policy</x:v>
      </x:c>
    </x:row>
    <x:row r="200" ht="35.25" customHeight="1">
      <x:c r="A200" s="7" t="str">
        <x:v>AIResult</x:v>
      </x:c>
      <x:c r="B200" s="7" t="str">
        <x:v>output_ref</x:v>
      </x:c>
      <x:c r="C200" s="7" t="str">
        <x:v>text</x:v>
      </x:c>
      <x:c r="D200" s="7" t="str">
        <x:v>Required</x:v>
      </x:c>
      <x:c r="E200" s="7" t="str">
        <x:v>Controlled result object reference with provider attribution. Type: string</x:v>
      </x:c>
      <x:c r="F200" s="7" t="str">
        <x:v>Sensitive</x:v>
      </x:c>
      <x:c r="G200" s="7" t="str">
        <x:v>Authorised actor or verified source</x:v>
      </x:c>
      <x:c r="H200" s="7" t="str">
        <x:v>Retain original source and revision</x:v>
      </x:c>
      <x:c r="I200" s="7" t="str">
        <x:v>By approved record class policy</x:v>
      </x:c>
    </x:row>
    <x:row r="201" ht="35.25" customHeight="1">
      <x:c r="A201" s="8" t="str">
        <x:v>AIResult</x:v>
      </x:c>
      <x:c r="B201" s="8" t="str">
        <x:v>output_hash</x:v>
      </x:c>
      <x:c r="C201" s="8" t="str">
        <x:v>text</x:v>
      </x:c>
      <x:c r="D201" s="8" t="str">
        <x:v>Required</x:v>
      </x:c>
      <x:c r="E201" s="8" t="str">
        <x:v>Digest of the provider output stored for integrity. Type: string</x:v>
      </x:c>
      <x:c r="F201" s="8" t="str">
        <x:v>Sensitive</x:v>
      </x:c>
      <x:c r="G201" s="8" t="str">
        <x:v>Authorised actor or verified source</x:v>
      </x:c>
      <x:c r="H201" s="8" t="str">
        <x:v>Retain original source and revision</x:v>
      </x:c>
      <x:c r="I201" s="8" t="str">
        <x:v>By approved record class policy</x:v>
      </x:c>
    </x:row>
    <x:row r="202" ht="30" customHeight="1">
      <x:c r="A202" s="7" t="str">
        <x:v>AIResult</x:v>
      </x:c>
      <x:c r="B202" s="7" t="str">
        <x:v>quality_state</x:v>
      </x:c>
      <x:c r="C202" s="7" t="str">
        <x:v>text</x:v>
      </x:c>
      <x:c r="D202" s="7" t="str">
        <x:v>Required</x:v>
      </x:c>
      <x:c r="E202" s="7" t="str">
        <x:v>Allowed values: valid, poor_quality, unsupported, invalid</x:v>
      </x:c>
      <x:c r="F202" s="7" t="str">
        <x:v>Sensitive</x:v>
      </x:c>
      <x:c r="G202" s="7" t="str">
        <x:v>Authorised actor or verified source</x:v>
      </x:c>
      <x:c r="H202" s="7" t="str">
        <x:v>Retain original source and revision</x:v>
      </x:c>
      <x:c r="I202" s="7" t="str">
        <x:v>By approved record class policy</x:v>
      </x:c>
    </x:row>
    <x:row r="203" ht="35.25" customHeight="1">
      <x:c r="A203" s="8" t="str">
        <x:v>AIResult</x:v>
      </x:c>
      <x:c r="B203" s="8" t="str">
        <x:v>limitations</x:v>
      </x:c>
      <x:c r="C203" s="8" t="str">
        <x:v>jsonb</x:v>
      </x:c>
      <x:c r="D203" s="8" t="str">
        <x:v>Required</x:v>
      </x:c>
      <x:c r="E203" s="8" t="str">
        <x:v>Provider and local review limitations shown with the result. Type: array</x:v>
      </x:c>
      <x:c r="F203" s="8" t="str">
        <x:v>Sensitive</x:v>
      </x:c>
      <x:c r="G203" s="8" t="str">
        <x:v>Authorised actor or verified source</x:v>
      </x:c>
      <x:c r="H203" s="8" t="str">
        <x:v>Retain original source and revision</x:v>
      </x:c>
      <x:c r="I203" s="8" t="str">
        <x:v>By approved record class policy</x:v>
      </x:c>
    </x:row>
    <x:row r="204" ht="35.25" customHeight="1">
      <x:c r="A204" s="7" t="str">
        <x:v>AIResult</x:v>
      </x:c>
      <x:c r="B204" s="7" t="str">
        <x:v>use_mode</x:v>
      </x:c>
      <x:c r="C204" s="7" t="str">
        <x:v>text</x:v>
      </x:c>
      <x:c r="D204" s="7" t="str">
        <x:v>Required</x:v>
      </x:c>
      <x:c r="E204" s="7" t="str">
        <x:v>Allowed values: clinical_approved, administrative, shadow, test</x:v>
      </x:c>
      <x:c r="F204" s="7" t="str">
        <x:v>Sensitive</x:v>
      </x:c>
      <x:c r="G204" s="7" t="str">
        <x:v>Authorised actor or verified source</x:v>
      </x:c>
      <x:c r="H204" s="7" t="str">
        <x:v>Retain original source and revision</x:v>
      </x:c>
      <x:c r="I204" s="7" t="str">
        <x:v>By approved record class policy</x:v>
      </x:c>
    </x:row>
    <x:row r="205" ht="30" customHeight="1">
      <x:c r="A205" s="8" t="str">
        <x:v>AIResult</x:v>
      </x:c>
      <x:c r="B205" s="8" t="str">
        <x:v>review_state</x:v>
      </x:c>
      <x:c r="C205" s="8" t="str">
        <x:v>text</x:v>
      </x:c>
      <x:c r="D205" s="8" t="str">
        <x:v>Required</x:v>
      </x:c>
      <x:c r="E205" s="8" t="str">
        <x:v>Allowed values: unreviewed, reviewed, flagged</x:v>
      </x:c>
      <x:c r="F205" s="8" t="str">
        <x:v>Sensitive</x:v>
      </x:c>
      <x:c r="G205" s="8" t="str">
        <x:v>Authorised actor or verified source</x:v>
      </x:c>
      <x:c r="H205" s="8" t="str">
        <x:v>Retain original source and revision</x:v>
      </x:c>
      <x:c r="I205" s="8" t="str">
        <x:v>By approved record class policy</x:v>
      </x:c>
    </x:row>
    <x:row r="206" ht="35.25" customHeight="1">
      <x:c r="A206" s="7" t="str">
        <x:v>AgentPlan</x:v>
      </x:c>
      <x:c r="B206" s="7" t="str">
        <x:v>id</x:v>
      </x:c>
      <x:c r="C206" s="7" t="str">
        <x:v>uuid</x:v>
      </x:c>
      <x:c r="D206" s="7" t="str">
        <x:v>Required</x:v>
      </x:c>
      <x:c r="E206" s="7" t="str">
        <x:v>Stable platform resource identifier, independent of external patient identifiers. Format: uuid</x:v>
      </x:c>
      <x:c r="F206" s="7" t="str">
        <x:v>Sensitive</x:v>
      </x:c>
      <x:c r="G206" s="7" t="str">
        <x:v>Server generated</x:v>
      </x:c>
      <x:c r="H206" s="7" t="str">
        <x:v>Retain original source and revision</x:v>
      </x:c>
      <x:c r="I206" s="7" t="str">
        <x:v>By approved record class policy</x:v>
      </x:c>
    </x:row>
    <x:row r="207" ht="35.25" customHeight="1">
      <x:c r="A207" s="8" t="str">
        <x:v>AgentPlan</x:v>
      </x:c>
      <x:c r="B207" s="8" t="str">
        <x:v>tenant_id</x:v>
      </x:c>
      <x:c r="C207" s="8" t="str">
        <x:v>uuid</x:v>
      </x:c>
      <x:c r="D207" s="8" t="str">
        <x:v>Required</x:v>
      </x:c>
      <x:c r="E207" s="8" t="str">
        <x:v>Owning deployment boundary derived from verified server context. Format: uuid</x:v>
      </x:c>
      <x:c r="F207" s="8" t="str">
        <x:v>Sensitive</x:v>
      </x:c>
      <x:c r="G207" s="8" t="str">
        <x:v>Server generated</x:v>
      </x:c>
      <x:c r="H207" s="8" t="str">
        <x:v>Retain original source and revision</x:v>
      </x:c>
      <x:c r="I207" s="8" t="str">
        <x:v>By approved record class policy</x:v>
      </x:c>
    </x:row>
    <x:row r="208" ht="35.25" customHeight="1">
      <x:c r="A208" s="7" t="str">
        <x:v>AgentPlan</x:v>
      </x:c>
      <x:c r="B208" s="7" t="str">
        <x:v>version</x:v>
      </x:c>
      <x:c r="C208" s="7" t="str">
        <x:v>bigint</x:v>
      </x:c>
      <x:c r="D208" s="7" t="str">
        <x:v>Required</x:v>
      </x:c>
      <x:c r="E208" s="7" t="str">
        <x:v>Monotonically increasing resource version used for concurrency and revision binding. Type: integer</x:v>
      </x:c>
      <x:c r="F208" s="7" t="str">
        <x:v>Sensitive</x:v>
      </x:c>
      <x:c r="G208" s="7" t="str">
        <x:v>Server generated</x:v>
      </x:c>
      <x:c r="H208" s="7" t="str">
        <x:v>Retain original source and revision</x:v>
      </x:c>
      <x:c r="I208" s="7" t="str">
        <x:v>By approved record class policy</x:v>
      </x:c>
    </x:row>
    <x:row r="209" ht="47.25" customHeight="1">
      <x:c r="A209" s="8" t="str">
        <x:v>AgentPlan</x:v>
      </x:c>
      <x:c r="B209" s="8" t="str">
        <x:v>environment</x:v>
      </x:c>
      <x:c r="C209" s="8" t="str">
        <x:v>text</x:v>
      </x:c>
      <x:c r="D209" s="8" t="str">
        <x:v>Required</x:v>
      </x:c>
      <x:c r="E209" s="8" t="str">
        <x:v>Synthetic, test or production origin; environments must not exchange live credentials. Allowed values: synthetic, test, production</x:v>
      </x:c>
      <x:c r="F209" s="8" t="str">
        <x:v>Sensitive</x:v>
      </x:c>
      <x:c r="G209" s="8" t="str">
        <x:v>Server generated</x:v>
      </x:c>
      <x:c r="H209" s="8" t="str">
        <x:v>Retain original source and revision</x:v>
      </x:c>
      <x:c r="I209" s="8" t="str">
        <x:v>By approved record class policy</x:v>
      </x:c>
    </x:row>
    <x:row r="210" ht="35.25" customHeight="1">
      <x:c r="A210" s="7" t="str">
        <x:v>AgentPlan</x:v>
      </x:c>
      <x:c r="B210" s="7" t="str">
        <x:v>created_at</x:v>
      </x:c>
      <x:c r="C210" s="7" t="str">
        <x:v>timestamptz</x:v>
      </x:c>
      <x:c r="D210" s="7" t="str">
        <x:v>Required</x:v>
      </x:c>
      <x:c r="E210" s="7" t="str">
        <x:v>Server timestamp at original resource creation. Format: date-time</x:v>
      </x:c>
      <x:c r="F210" s="7" t="str">
        <x:v>Sensitive</x:v>
      </x:c>
      <x:c r="G210" s="7" t="str">
        <x:v>Server generated</x:v>
      </x:c>
      <x:c r="H210" s="7" t="str">
        <x:v>Retain original source and revision</x:v>
      </x:c>
      <x:c r="I210" s="7" t="str">
        <x:v>By approved record class policy</x:v>
      </x:c>
    </x:row>
    <x:row r="211" ht="35.25" customHeight="1">
      <x:c r="A211" s="8" t="str">
        <x:v>AgentPlan</x:v>
      </x:c>
      <x:c r="B211" s="8" t="str">
        <x:v>updated_at</x:v>
      </x:c>
      <x:c r="C211" s="8" t="str">
        <x:v>timestamptz</x:v>
      </x:c>
      <x:c r="D211" s="8" t="str">
        <x:v>Required</x:v>
      </x:c>
      <x:c r="E211" s="8" t="str">
        <x:v>Server timestamp at the latest current-pointer or lifecycle change. Format: date-time</x:v>
      </x:c>
      <x:c r="F211" s="8" t="str">
        <x:v>Sensitive</x:v>
      </x:c>
      <x:c r="G211" s="8" t="str">
        <x:v>Server generated</x:v>
      </x:c>
      <x:c r="H211" s="8" t="str">
        <x:v>Retain original source and revision</x:v>
      </x:c>
      <x:c r="I211" s="8" t="str">
        <x:v>By approved record class policy</x:v>
      </x:c>
    </x:row>
    <x:row r="212" ht="35.25" customHeight="1">
      <x:c r="A212" s="7" t="str">
        <x:v>AgentPlan</x:v>
      </x:c>
      <x:c r="B212" s="7" t="str">
        <x:v>person_id</x:v>
      </x:c>
      <x:c r="C212" s="7" t="str">
        <x:v>uuid</x:v>
      </x:c>
      <x:c r="D212" s="7" t="str">
        <x:v>Required</x:v>
      </x:c>
      <x:c r="E212" s="7" t="str">
        <x:v>Subject person reference; must agree with the encounter and action context. Format: uuid</x:v>
      </x:c>
      <x:c r="F212" s="7" t="str">
        <x:v>Sensitive</x:v>
      </x:c>
      <x:c r="G212" s="7" t="str">
        <x:v>Authorised actor or verified source</x:v>
      </x:c>
      <x:c r="H212" s="7" t="str">
        <x:v>Retain original source and revision</x:v>
      </x:c>
      <x:c r="I212" s="7" t="str">
        <x:v>By approved record class policy</x:v>
      </x:c>
    </x:row>
    <x:row r="213" ht="35.25" customHeight="1">
      <x:c r="A213" s="8" t="str">
        <x:v>AgentPlan</x:v>
      </x:c>
      <x:c r="B213" s="8" t="str">
        <x:v>encounter_id</x:v>
      </x:c>
      <x:c r="C213" s="8" t="str">
        <x:v>uuid</x:v>
      </x:c>
      <x:c r="D213" s="8" t="str">
        <x:v>Required</x:v>
      </x:c>
      <x:c r="E213" s="8" t="str">
        <x:v>Single-person encounter to which this resource belongs. Format: uuid</x:v>
      </x:c>
      <x:c r="F213" s="8" t="str">
        <x:v>Sensitive</x:v>
      </x:c>
      <x:c r="G213" s="8" t="str">
        <x:v>Authorised actor or verified source</x:v>
      </x:c>
      <x:c r="H213" s="8" t="str">
        <x:v>Retain original source and revision</x:v>
      </x:c>
      <x:c r="I213" s="8" t="str">
        <x:v>By approved record class policy</x:v>
      </x:c>
    </x:row>
    <x:row r="214" ht="35.25" customHeight="1">
      <x:c r="A214" s="7" t="str">
        <x:v>AgentPlan</x:v>
      </x:c>
      <x:c r="B214" s="7" t="str">
        <x:v>goal_code</x:v>
      </x:c>
      <x:c r="C214" s="7" t="str">
        <x:v>text</x:v>
      </x:c>
      <x:c r="D214" s="7" t="str">
        <x:v>Required</x:v>
      </x:c>
      <x:c r="E214" s="7" t="str">
        <x:v>Approved workflow goal selected from the tool catalogue. Type: string</x:v>
      </x:c>
      <x:c r="F214" s="7" t="str">
        <x:v>Sensitive</x:v>
      </x:c>
      <x:c r="G214" s="7" t="str">
        <x:v>Authorised actor or verified source</x:v>
      </x:c>
      <x:c r="H214" s="7" t="str">
        <x:v>Retain original source and revision</x:v>
      </x:c>
      <x:c r="I214" s="7" t="str">
        <x:v>By approved record class policy</x:v>
      </x:c>
    </x:row>
    <x:row r="215" ht="35.25" customHeight="1">
      <x:c r="A215" s="8" t="str">
        <x:v>AgentPlan</x:v>
      </x:c>
      <x:c r="B215" s="8" t="str">
        <x:v>state</x:v>
      </x:c>
      <x:c r="C215" s="8" t="str">
        <x:v>text</x:v>
      </x:c>
      <x:c r="D215" s="8" t="str">
        <x:v>Required</x:v>
      </x:c>
      <x:c r="E215" s="8" t="str">
        <x:v>Allowed values: draft, awaiting_review, authorised, running, completed, blocked, cancelled</x:v>
      </x:c>
      <x:c r="F215" s="8" t="str">
        <x:v>Sensitive</x:v>
      </x:c>
      <x:c r="G215" s="8" t="str">
        <x:v>Authorised actor or verified source</x:v>
      </x:c>
      <x:c r="H215" s="8" t="str">
        <x:v>Retain original source and revision</x:v>
      </x:c>
      <x:c r="I215" s="8" t="str">
        <x:v>By approved record class policy</x:v>
      </x:c>
    </x:row>
    <x:row r="216" ht="35.25" customHeight="1">
      <x:c r="A216" s="7" t="str">
        <x:v>AgentPlan</x:v>
      </x:c>
      <x:c r="B216" s="7" t="str">
        <x:v>steps</x:v>
      </x:c>
      <x:c r="C216" s="7" t="str">
        <x:v>jsonb</x:v>
      </x:c>
      <x:c r="D216" s="7" t="str">
        <x:v>Required</x:v>
      </x:c>
      <x:c r="E216" s="7" t="str">
        <x:v>Typed action graph with dependencies and explicit authority classes. Type: array</x:v>
      </x:c>
      <x:c r="F216" s="7" t="str">
        <x:v>Sensitive</x:v>
      </x:c>
      <x:c r="G216" s="7" t="str">
        <x:v>Authorised actor or verified source</x:v>
      </x:c>
      <x:c r="H216" s="7" t="str">
        <x:v>Retain original source and revision</x:v>
      </x:c>
      <x:c r="I216" s="7" t="str">
        <x:v>By approved record class policy</x:v>
      </x:c>
    </x:row>
    <x:row r="217" ht="35.25" customHeight="1">
      <x:c r="A217" s="8" t="str">
        <x:v>AgentPlan</x:v>
      </x:c>
      <x:c r="B217" s="8" t="str">
        <x:v>input_refs</x:v>
      </x:c>
      <x:c r="C217" s="8" t="str">
        <x:v>jsonb</x:v>
      </x:c>
      <x:c r="D217" s="8" t="str">
        <x:v>Required</x:v>
      </x:c>
      <x:c r="E217" s="8" t="str">
        <x:v>Exact input resource IDs and versions bound to the action. Type: array</x:v>
      </x:c>
      <x:c r="F217" s="8" t="str">
        <x:v>Sensitive</x:v>
      </x:c>
      <x:c r="G217" s="8" t="str">
        <x:v>Authorised actor or verified source</x:v>
      </x:c>
      <x:c r="H217" s="8" t="str">
        <x:v>Retain original source and revision</x:v>
      </x:c>
      <x:c r="I217" s="8" t="str">
        <x:v>By approved record class policy</x:v>
      </x:c>
    </x:row>
    <x:row r="218" ht="35.25" customHeight="1">
      <x:c r="A218" s="7" t="str">
        <x:v>AgentPlan</x:v>
      </x:c>
      <x:c r="B218" s="7" t="str">
        <x:v>plan_hash</x:v>
      </x:c>
      <x:c r="C218" s="7" t="str">
        <x:v>text</x:v>
      </x:c>
      <x:c r="D218" s="7" t="str">
        <x:v>Required</x:v>
      </x:c>
      <x:c r="E218" s="7" t="str">
        <x:v>Digest of the reviewed plan and its material bindings. Type: string</x:v>
      </x:c>
      <x:c r="F218" s="7" t="str">
        <x:v>Sensitive</x:v>
      </x:c>
      <x:c r="G218" s="7" t="str">
        <x:v>Authorised actor or verified source</x:v>
      </x:c>
      <x:c r="H218" s="7" t="str">
        <x:v>Retain original source and revision</x:v>
      </x:c>
      <x:c r="I218" s="7" t="str">
        <x:v>By approved record class policy</x:v>
      </x:c>
    </x:row>
    <x:row r="219" ht="35.25" customHeight="1">
      <x:c r="A219" s="8" t="str">
        <x:v>AgentPlan</x:v>
      </x:c>
      <x:c r="B219" s="8" t="str">
        <x:v>max_steps</x:v>
      </x:c>
      <x:c r="C219" s="8" t="str">
        <x:v>bigint</x:v>
      </x:c>
      <x:c r="D219" s="8" t="str">
        <x:v>Required</x:v>
      </x:c>
      <x:c r="E219" s="8" t="str">
        <x:v>Hard executor step limit independent of model output. Type: integer</x:v>
      </x:c>
      <x:c r="F219" s="8" t="str">
        <x:v>Sensitive</x:v>
      </x:c>
      <x:c r="G219" s="8" t="str">
        <x:v>Authorised actor or verified source</x:v>
      </x:c>
      <x:c r="H219" s="8" t="str">
        <x:v>Retain original source and revision</x:v>
      </x:c>
      <x:c r="I219" s="8" t="str">
        <x:v>By approved record class policy</x:v>
      </x:c>
    </x:row>
    <x:row r="220" ht="35.25" customHeight="1">
      <x:c r="A220" s="7" t="str">
        <x:v>AgentPlan</x:v>
      </x:c>
      <x:c r="B220" s="7" t="str">
        <x:v>deadline_at</x:v>
      </x:c>
      <x:c r="C220" s="7" t="str">
        <x:v>timestamptz</x:v>
      </x:c>
      <x:c r="D220" s="7" t="str">
        <x:v>Required</x:v>
      </x:c>
      <x:c r="E220" s="7" t="str">
        <x:v>Maximum execution deadline; timeout is not a clinical result. Format: date-time</x:v>
      </x:c>
      <x:c r="F220" s="7" t="str">
        <x:v>Sensitive</x:v>
      </x:c>
      <x:c r="G220" s="7" t="str">
        <x:v>Authorised actor or verified source</x:v>
      </x:c>
      <x:c r="H220" s="7" t="str">
        <x:v>Retain original source and revision</x:v>
      </x:c>
      <x:c r="I220" s="7" t="str">
        <x:v>By approved record class policy</x:v>
      </x:c>
    </x:row>
    <x:row r="221" ht="35.25" customHeight="1">
      <x:c r="A221" s="8" t="str">
        <x:v>AgentPlan</x:v>
      </x:c>
      <x:c r="B221" s="8" t="str">
        <x:v>budget_minor</x:v>
      </x:c>
      <x:c r="C221" s="8" t="str">
        <x:v>bigint</x:v>
      </x:c>
      <x:c r="D221" s="8" t="str">
        <x:v>Required</x:v>
      </x:c>
      <x:c r="E221" s="8" t="str">
        <x:v>Maximum plan budget in integer minor currency units. Type: integer</x:v>
      </x:c>
      <x:c r="F221" s="8" t="str">
        <x:v>Sensitive</x:v>
      </x:c>
      <x:c r="G221" s="8" t="str">
        <x:v>Authorised actor or verified source</x:v>
      </x:c>
      <x:c r="H221" s="8" t="str">
        <x:v>Retain original source and revision</x:v>
      </x:c>
      <x:c r="I221" s="8" t="str">
        <x:v>By approved record class policy</x:v>
      </x:c>
    </x:row>
    <x:row r="222" ht="35.25" customHeight="1">
      <x:c r="A222" s="7" t="str">
        <x:v>AgentPlan</x:v>
      </x:c>
      <x:c r="B222" s="7" t="str">
        <x:v>currency</x:v>
      </x:c>
      <x:c r="C222" s="7" t="str">
        <x:v>text</x:v>
      </x:c>
      <x:c r="D222" s="7" t="str">
        <x:v>Required</x:v>
      </x:c>
      <x:c r="E222" s="7" t="str">
        <x:v>Explicit currency for charges; never infer from deployment location. Type: string</x:v>
      </x:c>
      <x:c r="F222" s="7" t="str">
        <x:v>Sensitive</x:v>
      </x:c>
      <x:c r="G222" s="7" t="str">
        <x:v>Authorised actor or verified source</x:v>
      </x:c>
      <x:c r="H222" s="7" t="str">
        <x:v>Retain original source and revision</x:v>
      </x:c>
      <x:c r="I222" s="7" t="str">
        <x:v>By approved record class policy</x:v>
      </x:c>
    </x:row>
    <x:row r="223" ht="35.25" customHeight="1">
      <x:c r="A223" s="8" t="str">
        <x:v>ActionApproval</x:v>
      </x:c>
      <x:c r="B223" s="8" t="str">
        <x:v>id</x:v>
      </x:c>
      <x:c r="C223" s="8" t="str">
        <x:v>uuid</x:v>
      </x:c>
      <x:c r="D223" s="8" t="str">
        <x:v>Required</x:v>
      </x:c>
      <x:c r="E223" s="8" t="str">
        <x:v>Stable platform resource identifier, independent of external patient identifiers. Format: uuid</x:v>
      </x:c>
      <x:c r="F223" s="8" t="str">
        <x:v>Sensitive</x:v>
      </x:c>
      <x:c r="G223" s="8" t="str">
        <x:v>Server generated</x:v>
      </x:c>
      <x:c r="H223" s="8" t="str">
        <x:v>Retain original source and revision</x:v>
      </x:c>
      <x:c r="I223" s="8" t="str">
        <x:v>By approved record class policy</x:v>
      </x:c>
    </x:row>
    <x:row r="224" ht="35.25" customHeight="1">
      <x:c r="A224" s="7" t="str">
        <x:v>ActionApproval</x:v>
      </x:c>
      <x:c r="B224" s="7" t="str">
        <x:v>tenant_id</x:v>
      </x:c>
      <x:c r="C224" s="7" t="str">
        <x:v>uuid</x:v>
      </x:c>
      <x:c r="D224" s="7" t="str">
        <x:v>Required</x:v>
      </x:c>
      <x:c r="E224" s="7" t="str">
        <x:v>Owning deployment boundary derived from verified server context. Format: uuid</x:v>
      </x:c>
      <x:c r="F224" s="7" t="str">
        <x:v>Sensitive</x:v>
      </x:c>
      <x:c r="G224" s="7" t="str">
        <x:v>Server generated</x:v>
      </x:c>
      <x:c r="H224" s="7" t="str">
        <x:v>Retain original source and revision</x:v>
      </x:c>
      <x:c r="I224" s="7" t="str">
        <x:v>By approved record class policy</x:v>
      </x:c>
    </x:row>
    <x:row r="225" ht="35.25" customHeight="1">
      <x:c r="A225" s="8" t="str">
        <x:v>ActionApproval</x:v>
      </x:c>
      <x:c r="B225" s="8" t="str">
        <x:v>version</x:v>
      </x:c>
      <x:c r="C225" s="8" t="str">
        <x:v>bigint</x:v>
      </x:c>
      <x:c r="D225" s="8" t="str">
        <x:v>Required</x:v>
      </x:c>
      <x:c r="E225" s="8" t="str">
        <x:v>Monotonically increasing resource version used for concurrency and revision binding. Type: integer</x:v>
      </x:c>
      <x:c r="F225" s="8" t="str">
        <x:v>Sensitive</x:v>
      </x:c>
      <x:c r="G225" s="8" t="str">
        <x:v>Server generated</x:v>
      </x:c>
      <x:c r="H225" s="8" t="str">
        <x:v>Retain original source and revision</x:v>
      </x:c>
      <x:c r="I225" s="8" t="str">
        <x:v>By approved record class policy</x:v>
      </x:c>
    </x:row>
    <x:row r="226" ht="47.25" customHeight="1">
      <x:c r="A226" s="7" t="str">
        <x:v>ActionApproval</x:v>
      </x:c>
      <x:c r="B226" s="7" t="str">
        <x:v>environment</x:v>
      </x:c>
      <x:c r="C226" s="7" t="str">
        <x:v>text</x:v>
      </x:c>
      <x:c r="D226" s="7" t="str">
        <x:v>Required</x:v>
      </x:c>
      <x:c r="E226" s="7" t="str">
        <x:v>Synthetic, test or production origin; environments must not exchange live credentials. Allowed values: synthetic, test, production</x:v>
      </x:c>
      <x:c r="F226" s="7" t="str">
        <x:v>Sensitive</x:v>
      </x:c>
      <x:c r="G226" s="7" t="str">
        <x:v>Server generated</x:v>
      </x:c>
      <x:c r="H226" s="7" t="str">
        <x:v>Retain original source and revision</x:v>
      </x:c>
      <x:c r="I226" s="7" t="str">
        <x:v>By approved record class policy</x:v>
      </x:c>
    </x:row>
    <x:row r="227" ht="35.25" customHeight="1">
      <x:c r="A227" s="8" t="str">
        <x:v>ActionApproval</x:v>
      </x:c>
      <x:c r="B227" s="8" t="str">
        <x:v>created_at</x:v>
      </x:c>
      <x:c r="C227" s="8" t="str">
        <x:v>timestamptz</x:v>
      </x:c>
      <x:c r="D227" s="8" t="str">
        <x:v>Required</x:v>
      </x:c>
      <x:c r="E227" s="8" t="str">
        <x:v>Server timestamp at original resource creation. Format: date-time</x:v>
      </x:c>
      <x:c r="F227" s="8" t="str">
        <x:v>Sensitive</x:v>
      </x:c>
      <x:c r="G227" s="8" t="str">
        <x:v>Server generated</x:v>
      </x:c>
      <x:c r="H227" s="8" t="str">
        <x:v>Retain original source and revision</x:v>
      </x:c>
      <x:c r="I227" s="8" t="str">
        <x:v>By approved record class policy</x:v>
      </x:c>
    </x:row>
    <x:row r="228" ht="35.25" customHeight="1">
      <x:c r="A228" s="7" t="str">
        <x:v>ActionApproval</x:v>
      </x:c>
      <x:c r="B228" s="7" t="str">
        <x:v>updated_at</x:v>
      </x:c>
      <x:c r="C228" s="7" t="str">
        <x:v>timestamptz</x:v>
      </x:c>
      <x:c r="D228" s="7" t="str">
        <x:v>Required</x:v>
      </x:c>
      <x:c r="E228" s="7" t="str">
        <x:v>Server timestamp at the latest current-pointer or lifecycle change. Format: date-time</x:v>
      </x:c>
      <x:c r="F228" s="7" t="str">
        <x:v>Sensitive</x:v>
      </x:c>
      <x:c r="G228" s="7" t="str">
        <x:v>Server generated</x:v>
      </x:c>
      <x:c r="H228" s="7" t="str">
        <x:v>Retain original source and revision</x:v>
      </x:c>
      <x:c r="I228" s="7" t="str">
        <x:v>By approved record class policy</x:v>
      </x:c>
    </x:row>
    <x:row r="229" ht="30" customHeight="1">
      <x:c r="A229" s="8" t="str">
        <x:v>ActionApproval</x:v>
      </x:c>
      <x:c r="B229" s="8" t="str">
        <x:v>plan_id</x:v>
      </x:c>
      <x:c r="C229" s="8" t="str">
        <x:v>uuid</x:v>
      </x:c>
      <x:c r="D229" s="8" t="str">
        <x:v>Required</x:v>
      </x:c>
      <x:c r="E229" s="8" t="str">
        <x:v>Plan whose exact snapshot was approved. Format: uuid</x:v>
      </x:c>
      <x:c r="F229" s="8" t="str">
        <x:v>Sensitive</x:v>
      </x:c>
      <x:c r="G229" s="8" t="str">
        <x:v>Authorised actor or verified source</x:v>
      </x:c>
      <x:c r="H229" s="8" t="str">
        <x:v>Retain original source and revision</x:v>
      </x:c>
      <x:c r="I229" s="8" t="str">
        <x:v>By approved record class policy</x:v>
      </x:c>
    </x:row>
    <x:row r="230" ht="35.25" customHeight="1">
      <x:c r="A230" s="7" t="str">
        <x:v>ActionApproval</x:v>
      </x:c>
      <x:c r="B230" s="7" t="str">
        <x:v>action_ids</x:v>
      </x:c>
      <x:c r="C230" s="7" t="str">
        <x:v>jsonb</x:v>
      </x:c>
      <x:c r="D230" s="7" t="str">
        <x:v>Required</x:v>
      </x:c>
      <x:c r="E230" s="7" t="str">
        <x:v>Individual actions explicitly covered by this approval. Type: array</x:v>
      </x:c>
      <x:c r="F230" s="7" t="str">
        <x:v>Sensitive</x:v>
      </x:c>
      <x:c r="G230" s="7" t="str">
        <x:v>Authorised actor or verified source</x:v>
      </x:c>
      <x:c r="H230" s="7" t="str">
        <x:v>Retain original source and revision</x:v>
      </x:c>
      <x:c r="I230" s="7" t="str">
        <x:v>By approved record class policy</x:v>
      </x:c>
    </x:row>
    <x:row r="231" ht="35.25" customHeight="1">
      <x:c r="A231" s="8" t="str">
        <x:v>ActionApproval</x:v>
      </x:c>
      <x:c r="B231" s="8" t="str">
        <x:v>snapshot_hash</x:v>
      </x:c>
      <x:c r="C231" s="8" t="str">
        <x:v>text</x:v>
      </x:c>
      <x:c r="D231" s="8" t="str">
        <x:v>Required</x:v>
      </x:c>
      <x:c r="E231" s="8" t="str">
        <x:v>Digest binding facts, actions, recipient, purpose and versions. Type: string</x:v>
      </x:c>
      <x:c r="F231" s="8" t="str">
        <x:v>Sensitive</x:v>
      </x:c>
      <x:c r="G231" s="8" t="str">
        <x:v>Authorised actor or verified source</x:v>
      </x:c>
      <x:c r="H231" s="8" t="str">
        <x:v>Retain original source and revision</x:v>
      </x:c>
      <x:c r="I231" s="8" t="str">
        <x:v>By approved record class policy</x:v>
      </x:c>
    </x:row>
    <x:row r="232" ht="35.25" customHeight="1">
      <x:c r="A232" s="7" t="str">
        <x:v>ActionApproval</x:v>
      </x:c>
      <x:c r="B232" s="7" t="str">
        <x:v>purpose</x:v>
      </x:c>
      <x:c r="C232" s="7" t="str">
        <x:v>text</x:v>
      </x:c>
      <x:c r="D232" s="7" t="str">
        <x:v>Required</x:v>
      </x:c>
      <x:c r="E232" s="7" t="str">
        <x:v>Specific approved purpose for processing or disclosure. Type: string</x:v>
      </x:c>
      <x:c r="F232" s="7" t="str">
        <x:v>Sensitive</x:v>
      </x:c>
      <x:c r="G232" s="7" t="str">
        <x:v>Authorised actor or verified source</x:v>
      </x:c>
      <x:c r="H232" s="7" t="str">
        <x:v>Retain original source and revision</x:v>
      </x:c>
      <x:c r="I232" s="7" t="str">
        <x:v>By approved record class policy</x:v>
      </x:c>
    </x:row>
    <x:row r="233" ht="35.25" customHeight="1">
      <x:c r="A233" s="8" t="str">
        <x:v>ActionApproval</x:v>
      </x:c>
      <x:c r="B233" s="8" t="str">
        <x:v>recipient_ids</x:v>
      </x:c>
      <x:c r="C233" s="8" t="str">
        <x:v>jsonb</x:v>
      </x:c>
      <x:c r="D233" s="8" t="str">
        <x:v>Required</x:v>
      </x:c>
      <x:c r="E233" s="8" t="str">
        <x:v>Exact permitted recipients; changes require renewed policy review. Type: array</x:v>
      </x:c>
      <x:c r="F233" s="8" t="str">
        <x:v>Sensitive</x:v>
      </x:c>
      <x:c r="G233" s="8" t="str">
        <x:v>Authorised actor or verified source</x:v>
      </x:c>
      <x:c r="H233" s="8" t="str">
        <x:v>Retain original source and revision</x:v>
      </x:c>
      <x:c r="I233" s="8" t="str">
        <x:v>By approved record class policy</x:v>
      </x:c>
    </x:row>
    <x:row r="234" ht="35.25" customHeight="1">
      <x:c r="A234" s="7" t="str">
        <x:v>ActionApproval</x:v>
      </x:c>
      <x:c r="B234" s="7" t="str">
        <x:v>approver_id</x:v>
      </x:c>
      <x:c r="C234" s="7" t="str">
        <x:v>uuid</x:v>
      </x:c>
      <x:c r="D234" s="7" t="str">
        <x:v>Required</x:v>
      </x:c>
      <x:c r="E234" s="7" t="str">
        <x:v>Verified actor responsible for the exact approval. Format: uuid</x:v>
      </x:c>
      <x:c r="F234" s="7" t="str">
        <x:v>Sensitive</x:v>
      </x:c>
      <x:c r="G234" s="7" t="str">
        <x:v>Authorised actor or verified source</x:v>
      </x:c>
      <x:c r="H234" s="7" t="str">
        <x:v>Retain original source and revision</x:v>
      </x:c>
      <x:c r="I234" s="7" t="str">
        <x:v>By approved record class policy</x:v>
      </x:c>
    </x:row>
    <x:row r="235" ht="35.25" customHeight="1">
      <x:c r="A235" s="8" t="str">
        <x:v>ActionApproval</x:v>
      </x:c>
      <x:c r="B235" s="8" t="str">
        <x:v>approved_at</x:v>
      </x:c>
      <x:c r="C235" s="8" t="str">
        <x:v>timestamptz</x:v>
      </x:c>
      <x:c r="D235" s="8" t="str">
        <x:v>Required</x:v>
      </x:c>
      <x:c r="E235" s="8" t="str">
        <x:v>Time approval was recorded with its binding evidence. Format: date-time</x:v>
      </x:c>
      <x:c r="F235" s="8" t="str">
        <x:v>Sensitive</x:v>
      </x:c>
      <x:c r="G235" s="8" t="str">
        <x:v>Authorised actor or verified source</x:v>
      </x:c>
      <x:c r="H235" s="8" t="str">
        <x:v>Retain original source and revision</x:v>
      </x:c>
      <x:c r="I235" s="8" t="str">
        <x:v>By approved record class policy</x:v>
      </x:c>
    </x:row>
    <x:row r="236" ht="35.25" customHeight="1">
      <x:c r="A236" s="7" t="str">
        <x:v>ActionApproval</x:v>
      </x:c>
      <x:c r="B236" s="7" t="str">
        <x:v>expires_at</x:v>
      </x:c>
      <x:c r="C236" s="7" t="str">
        <x:v>timestamptz</x:v>
      </x:c>
      <x:c r="D236" s="7" t="str">
        <x:v>Required</x:v>
      </x:c>
      <x:c r="E236" s="7" t="str">
        <x:v>Authority, grant or ticket expiry evaluated against trusted server time. Format: date-time</x:v>
      </x:c>
      <x:c r="F236" s="7" t="str">
        <x:v>Sensitive</x:v>
      </x:c>
      <x:c r="G236" s="7" t="str">
        <x:v>Authorised actor or verified source</x:v>
      </x:c>
      <x:c r="H236" s="7" t="str">
        <x:v>Retain original source and revision</x:v>
      </x:c>
      <x:c r="I236" s="7" t="str">
        <x:v>By approved record class policy</x:v>
      </x:c>
    </x:row>
    <x:row r="237" ht="30" customHeight="1">
      <x:c r="A237" s="8" t="str">
        <x:v>ActionApproval</x:v>
      </x:c>
      <x:c r="B237" s="8" t="str">
        <x:v>state</x:v>
      </x:c>
      <x:c r="C237" s="8" t="str">
        <x:v>text</x:v>
      </x:c>
      <x:c r="D237" s="8" t="str">
        <x:v>Required</x:v>
      </x:c>
      <x:c r="E237" s="8" t="str">
        <x:v>Allowed values: active, stale, revoked, expired</x:v>
      </x:c>
      <x:c r="F237" s="8" t="str">
        <x:v>Sensitive</x:v>
      </x:c>
      <x:c r="G237" s="8" t="str">
        <x:v>Authorised actor or verified source</x:v>
      </x:c>
      <x:c r="H237" s="8" t="str">
        <x:v>Retain original source and revision</x:v>
      </x:c>
      <x:c r="I237" s="8" t="str">
        <x:v>By approved record class policy</x:v>
      </x:c>
    </x:row>
    <x:row r="238" ht="35.25" customHeight="1">
      <x:c r="A238" s="7" t="str">
        <x:v>Connector</x:v>
      </x:c>
      <x:c r="B238" s="7" t="str">
        <x:v>id</x:v>
      </x:c>
      <x:c r="C238" s="7" t="str">
        <x:v>uuid</x:v>
      </x:c>
      <x:c r="D238" s="7" t="str">
        <x:v>Required</x:v>
      </x:c>
      <x:c r="E238" s="7" t="str">
        <x:v>Stable platform resource identifier, independent of external patient identifiers. Format: uuid</x:v>
      </x:c>
      <x:c r="F238" s="7" t="str">
        <x:v>Configuration</x:v>
      </x:c>
      <x:c r="G238" s="7" t="str">
        <x:v>Server generated</x:v>
      </x:c>
      <x:c r="H238" s="7" t="str">
        <x:v>Retain original source and revision</x:v>
      </x:c>
      <x:c r="I238" s="7" t="str">
        <x:v>By approved record class policy</x:v>
      </x:c>
    </x:row>
    <x:row r="239" ht="35.25" customHeight="1">
      <x:c r="A239" s="8" t="str">
        <x:v>Connector</x:v>
      </x:c>
      <x:c r="B239" s="8" t="str">
        <x:v>tenant_id</x:v>
      </x:c>
      <x:c r="C239" s="8" t="str">
        <x:v>uuid</x:v>
      </x:c>
      <x:c r="D239" s="8" t="str">
        <x:v>Required</x:v>
      </x:c>
      <x:c r="E239" s="8" t="str">
        <x:v>Owning deployment boundary derived from verified server context. Format: uuid</x:v>
      </x:c>
      <x:c r="F239" s="8" t="str">
        <x:v>Configuration</x:v>
      </x:c>
      <x:c r="G239" s="8" t="str">
        <x:v>Server generated</x:v>
      </x:c>
      <x:c r="H239" s="8" t="str">
        <x:v>Retain original source and revision</x:v>
      </x:c>
      <x:c r="I239" s="8" t="str">
        <x:v>By approved record class policy</x:v>
      </x:c>
    </x:row>
    <x:row r="240" ht="35.25" customHeight="1">
      <x:c r="A240" s="7" t="str">
        <x:v>Connector</x:v>
      </x:c>
      <x:c r="B240" s="7" t="str">
        <x:v>version</x:v>
      </x:c>
      <x:c r="C240" s="7" t="str">
        <x:v>bigint</x:v>
      </x:c>
      <x:c r="D240" s="7" t="str">
        <x:v>Required</x:v>
      </x:c>
      <x:c r="E240" s="7" t="str">
        <x:v>Monotonically increasing resource version used for concurrency and revision binding. Type: integer</x:v>
      </x:c>
      <x:c r="F240" s="7" t="str">
        <x:v>Configuration</x:v>
      </x:c>
      <x:c r="G240" s="7" t="str">
        <x:v>Server generated</x:v>
      </x:c>
      <x:c r="H240" s="7" t="str">
        <x:v>Retain original source and revision</x:v>
      </x:c>
      <x:c r="I240" s="7" t="str">
        <x:v>By approved record class policy</x:v>
      </x:c>
    </x:row>
    <x:row r="241" ht="47.25" customHeight="1">
      <x:c r="A241" s="8" t="str">
        <x:v>Connector</x:v>
      </x:c>
      <x:c r="B241" s="8" t="str">
        <x:v>environment</x:v>
      </x:c>
      <x:c r="C241" s="8" t="str">
        <x:v>text</x:v>
      </x:c>
      <x:c r="D241" s="8" t="str">
        <x:v>Required</x:v>
      </x:c>
      <x:c r="E241" s="8" t="str">
        <x:v>Synthetic, test or production origin; environments must not exchange live credentials. Allowed values: synthetic, test, production</x:v>
      </x:c>
      <x:c r="F241" s="8" t="str">
        <x:v>Configuration</x:v>
      </x:c>
      <x:c r="G241" s="8" t="str">
        <x:v>Server generated</x:v>
      </x:c>
      <x:c r="H241" s="8" t="str">
        <x:v>Retain original source and revision</x:v>
      </x:c>
      <x:c r="I241" s="8" t="str">
        <x:v>By approved record class policy</x:v>
      </x:c>
    </x:row>
    <x:row r="242" ht="35.25" customHeight="1">
      <x:c r="A242" s="7" t="str">
        <x:v>Connector</x:v>
      </x:c>
      <x:c r="B242" s="7" t="str">
        <x:v>created_at</x:v>
      </x:c>
      <x:c r="C242" s="7" t="str">
        <x:v>timestamptz</x:v>
      </x:c>
      <x:c r="D242" s="7" t="str">
        <x:v>Required</x:v>
      </x:c>
      <x:c r="E242" s="7" t="str">
        <x:v>Server timestamp at original resource creation. Format: date-time</x:v>
      </x:c>
      <x:c r="F242" s="7" t="str">
        <x:v>Configuration</x:v>
      </x:c>
      <x:c r="G242" s="7" t="str">
        <x:v>Server generated</x:v>
      </x:c>
      <x:c r="H242" s="7" t="str">
        <x:v>Retain original source and revision</x:v>
      </x:c>
      <x:c r="I242" s="7" t="str">
        <x:v>By approved record class policy</x:v>
      </x:c>
    </x:row>
    <x:row r="243" ht="35.25" customHeight="1">
      <x:c r="A243" s="8" t="str">
        <x:v>Connector</x:v>
      </x:c>
      <x:c r="B243" s="8" t="str">
        <x:v>updated_at</x:v>
      </x:c>
      <x:c r="C243" s="8" t="str">
        <x:v>timestamptz</x:v>
      </x:c>
      <x:c r="D243" s="8" t="str">
        <x:v>Required</x:v>
      </x:c>
      <x:c r="E243" s="8" t="str">
        <x:v>Server timestamp at the latest current-pointer or lifecycle change. Format: date-time</x:v>
      </x:c>
      <x:c r="F243" s="8" t="str">
        <x:v>Configuration</x:v>
      </x:c>
      <x:c r="G243" s="8" t="str">
        <x:v>Server generated</x:v>
      </x:c>
      <x:c r="H243" s="8" t="str">
        <x:v>Retain original source and revision</x:v>
      </x:c>
      <x:c r="I243" s="8" t="str">
        <x:v>By approved record class policy</x:v>
      </x:c>
    </x:row>
    <x:row r="244" ht="30" customHeight="1">
      <x:c r="A244" s="7" t="str">
        <x:v>Connector</x:v>
      </x:c>
      <x:c r="B244" s="7" t="str">
        <x:v>connector_key</x:v>
      </x:c>
      <x:c r="C244" s="7" t="str">
        <x:v>text</x:v>
      </x:c>
      <x:c r="D244" s="7" t="str">
        <x:v>Required</x:v>
      </x:c>
      <x:c r="E244" s="7" t="str">
        <x:v>Stable deployment connector identifier. Type: string</x:v>
      </x:c>
      <x:c r="F244" s="7" t="str">
        <x:v>Configuration</x:v>
      </x:c>
      <x:c r="G244" s="7" t="str">
        <x:v>Authorised actor or verified source</x:v>
      </x:c>
      <x:c r="H244" s="7" t="str">
        <x:v>Retain original source and revision</x:v>
      </x:c>
      <x:c r="I244" s="7" t="str">
        <x:v>By approved record class policy</x:v>
      </x:c>
    </x:row>
    <x:row r="245" ht="35.25" customHeight="1">
      <x:c r="A245" s="8" t="str">
        <x:v>Connector</x:v>
      </x:c>
      <x:c r="B245" s="8" t="str">
        <x:v>connector_type</x:v>
      </x:c>
      <x:c r="C245" s="8" t="str">
        <x:v>text</x:v>
      </x:c>
      <x:c r="D245" s="8" t="str">
        <x:v>Required</x:v>
      </x:c>
      <x:c r="E245" s="8" t="str">
        <x:v>Allowed values: programme, ehr, abdm_hip, abdm_hiu, abha, legacy, aggregate</x:v>
      </x:c>
      <x:c r="F245" s="8" t="str">
        <x:v>Configuration</x:v>
      </x:c>
      <x:c r="G245" s="8" t="str">
        <x:v>Authorised actor or verified source</x:v>
      </x:c>
      <x:c r="H245" s="8" t="str">
        <x:v>Retain original source and revision</x:v>
      </x:c>
      <x:c r="I245" s="8" t="str">
        <x:v>By approved record class policy</x:v>
      </x:c>
    </x:row>
    <x:row r="246" ht="30" customHeight="1">
      <x:c r="A246" s="7" t="str">
        <x:v>Connector</x:v>
      </x:c>
      <x:c r="B246" s="7" t="str">
        <x:v>profile_version</x:v>
      </x:c>
      <x:c r="C246" s="7" t="str">
        <x:v>text</x:v>
      </x:c>
      <x:c r="D246" s="7" t="str">
        <x:v>Required</x:v>
      </x:c>
      <x:c r="E246" s="7" t="str">
        <x:v>Pinned external capability profile version. Type: string</x:v>
      </x:c>
      <x:c r="F246" s="7" t="str">
        <x:v>Configuration</x:v>
      </x:c>
      <x:c r="G246" s="7" t="str">
        <x:v>Authorised actor or verified source</x:v>
      </x:c>
      <x:c r="H246" s="7" t="str">
        <x:v>Retain original source and revision</x:v>
      </x:c>
      <x:c r="I246" s="7" t="str">
        <x:v>By approved record class policy</x:v>
      </x:c>
    </x:row>
    <x:row r="247" ht="35.25" customHeight="1">
      <x:c r="A247" s="8" t="str">
        <x:v>Connector</x:v>
      </x:c>
      <x:c r="B247" s="8" t="str">
        <x:v>supported_operations</x:v>
      </x:c>
      <x:c r="C247" s="8" t="str">
        <x:v>jsonb</x:v>
      </x:c>
      <x:c r="D247" s="8" t="str">
        <x:v>Required</x:v>
      </x:c>
      <x:c r="E247" s="8" t="str">
        <x:v>Explicit allowlist such as lookup, create, amend or receipt query. Type: array</x:v>
      </x:c>
      <x:c r="F247" s="8" t="str">
        <x:v>Configuration</x:v>
      </x:c>
      <x:c r="G247" s="8" t="str">
        <x:v>Authorised actor or verified source</x:v>
      </x:c>
      <x:c r="H247" s="8" t="str">
        <x:v>Retain original source and revision</x:v>
      </x:c>
      <x:c r="I247" s="8" t="str">
        <x:v>By approved record class policy</x:v>
      </x:c>
    </x:row>
    <x:row r="248" ht="35.25" customHeight="1">
      <x:c r="A248" s="7" t="str">
        <x:v>Connector</x:v>
      </x:c>
      <x:c r="B248" s="7" t="str">
        <x:v>supported_resources</x:v>
      </x:c>
      <x:c r="C248" s="7" t="str">
        <x:v>jsonb</x:v>
      </x:c>
      <x:c r="D248" s="7" t="str">
        <x:v>Required</x:v>
      </x:c>
      <x:c r="E248" s="7" t="str">
        <x:v>Resource types proven by the system owner contract. Type: array</x:v>
      </x:c>
      <x:c r="F248" s="7" t="str">
        <x:v>Configuration</x:v>
      </x:c>
      <x:c r="G248" s="7" t="str">
        <x:v>Authorised actor or verified source</x:v>
      </x:c>
      <x:c r="H248" s="7" t="str">
        <x:v>Retain original source and revision</x:v>
      </x:c>
      <x:c r="I248" s="7" t="str">
        <x:v>By approved record class policy</x:v>
      </x:c>
    </x:row>
    <x:row r="249" ht="35.25" customHeight="1">
      <x:c r="A249" s="8" t="str">
        <x:v>Connector</x:v>
      </x:c>
      <x:c r="B249" s="8" t="str">
        <x:v>mapping_version</x:v>
      </x:c>
      <x:c r="C249" s="8" t="str">
        <x:v>text</x:v>
      </x:c>
      <x:c r="D249" s="8" t="str">
        <x:v>Required</x:v>
      </x:c>
      <x:c r="E249" s="8" t="str">
        <x:v>Exact canonical-to-destination transformation used. Type: string</x:v>
      </x:c>
      <x:c r="F249" s="8" t="str">
        <x:v>Configuration</x:v>
      </x:c>
      <x:c r="G249" s="8" t="str">
        <x:v>Authorised actor or verified source</x:v>
      </x:c>
      <x:c r="H249" s="8" t="str">
        <x:v>Retain original source and revision</x:v>
      </x:c>
      <x:c r="I249" s="8" t="str">
        <x:v>By approved record class policy</x:v>
      </x:c>
    </x:row>
    <x:row r="250" ht="35.25" customHeight="1">
      <x:c r="A250" s="7" t="str">
        <x:v>Connector</x:v>
      </x:c>
      <x:c r="B250" s="7" t="str">
        <x:v>external_schema_version</x:v>
      </x:c>
      <x:c r="C250" s="7" t="str">
        <x:v>text</x:v>
      </x:c>
      <x:c r="D250" s="7" t="str">
        <x:v>Required</x:v>
      </x:c>
      <x:c r="E250" s="7" t="str">
        <x:v>External vendor or official API/schema version. Type: string</x:v>
      </x:c>
      <x:c r="F250" s="7" t="str">
        <x:v>Configuration</x:v>
      </x:c>
      <x:c r="G250" s="7" t="str">
        <x:v>Authorised actor or verified source</x:v>
      </x:c>
      <x:c r="H250" s="7" t="str">
        <x:v>Retain original source and revision</x:v>
      </x:c>
      <x:c r="I250" s="7" t="str">
        <x:v>By approved record class policy</x:v>
      </x:c>
    </x:row>
    <x:row r="251" ht="35.25" customHeight="1">
      <x:c r="A251" s="8" t="str">
        <x:v>Connector</x:v>
      </x:c>
      <x:c r="B251" s="8" t="str">
        <x:v>state</x:v>
      </x:c>
      <x:c r="C251" s="8" t="str">
        <x:v>text</x:v>
      </x:c>
      <x:c r="D251" s="8" t="str">
        <x:v>Required</x:v>
      </x:c>
      <x:c r="E251" s="8" t="str">
        <x:v>Allowed values: candidate, contract_verified, sandbox_verified, production_onboarded, live, paused, retired</x:v>
      </x:c>
      <x:c r="F251" s="8" t="str">
        <x:v>Configuration</x:v>
      </x:c>
      <x:c r="G251" s="8" t="str">
        <x:v>Authorised actor or verified source</x:v>
      </x:c>
      <x:c r="H251" s="8" t="str">
        <x:v>Retain original source and revision</x:v>
      </x:c>
      <x:c r="I251" s="8" t="str">
        <x:v>By approved record class policy</x:v>
      </x:c>
    </x:row>
    <x:row r="252" ht="35.25" customHeight="1">
      <x:c r="A252" s="7" t="str">
        <x:v>Connector</x:v>
      </x:c>
      <x:c r="B252" s="7" t="str">
        <x:v>receipt_semantics_ref</x:v>
      </x:c>
      <x:c r="C252" s="7" t="str">
        <x:v>text</x:v>
      </x:c>
      <x:c r="D252" s="7" t="str">
        <x:v>Required</x:v>
      </x:c>
      <x:c r="E252" s="7" t="str">
        <x:v>Contract defining business acceptance and uncertainty resolution. Type: string</x:v>
      </x:c>
      <x:c r="F252" s="7" t="str">
        <x:v>Configuration</x:v>
      </x:c>
      <x:c r="G252" s="7" t="str">
        <x:v>Authorised actor or verified source</x:v>
      </x:c>
      <x:c r="H252" s="7" t="str">
        <x:v>Retain original source and revision</x:v>
      </x:c>
      <x:c r="I252" s="7" t="str">
        <x:v>By approved record class policy</x:v>
      </x:c>
    </x:row>
    <x:row r="253" ht="35.25" customHeight="1">
      <x:c r="A253" s="8" t="str">
        <x:v>Connector</x:v>
      </x:c>
      <x:c r="B253" s="8" t="str">
        <x:v>owner_ref</x:v>
      </x:c>
      <x:c r="C253" s="8" t="str">
        <x:v>text</x:v>
      </x:c>
      <x:c r="D253" s="8" t="str">
        <x:v>Required</x:v>
      </x:c>
      <x:c r="E253" s="8" t="str">
        <x:v>Assigned principal, institution or monitored queue accountable for the work. Type: string</x:v>
      </x:c>
      <x:c r="F253" s="8" t="str">
        <x:v>Configuration</x:v>
      </x:c>
      <x:c r="G253" s="8" t="str">
        <x:v>Authorised actor or verified source</x:v>
      </x:c>
      <x:c r="H253" s="8" t="str">
        <x:v>Retain original source and revision</x:v>
      </x:c>
      <x:c r="I253" s="8" t="str">
        <x:v>By approved record class policy</x:v>
      </x:c>
    </x:row>
    <x:row r="254" ht="35.25" customHeight="1">
      <x:c r="A254" s="7" t="str">
        <x:v>Connector</x:v>
      </x:c>
      <x:c r="B254" s="7" t="str">
        <x:v>secret_ref</x:v>
      </x:c>
      <x:c r="C254" s="7" t="str">
        <x:v>text</x:v>
      </x:c>
      <x:c r="D254" s="7" t="str">
        <x:v>Required</x:v>
      </x:c>
      <x:c r="E254" s="7" t="str">
        <x:v>Vault reference only; never the credential or token itself. Type: string</x:v>
      </x:c>
      <x:c r="F254" s="7" t="str">
        <x:v>Configuration</x:v>
      </x:c>
      <x:c r="G254" s="7" t="str">
        <x:v>Authorised actor or verified source</x:v>
      </x:c>
      <x:c r="H254" s="7" t="str">
        <x:v>Retain original source and revision</x:v>
      </x:c>
      <x:c r="I254" s="7" t="str">
        <x:v>By approved record class policy</x:v>
      </x:c>
    </x:row>
    <x:row r="255" ht="35.25" customHeight="1">
      <x:c r="A255" s="8" t="str">
        <x:v>Submission</x:v>
      </x:c>
      <x:c r="B255" s="8" t="str">
        <x:v>id</x:v>
      </x:c>
      <x:c r="C255" s="8" t="str">
        <x:v>uuid</x:v>
      </x:c>
      <x:c r="D255" s="8" t="str">
        <x:v>Required</x:v>
      </x:c>
      <x:c r="E255" s="8" t="str">
        <x:v>Stable platform resource identifier, independent of external patient identifiers. Format: uuid</x:v>
      </x:c>
      <x:c r="F255" s="8" t="str">
        <x:v>Sensitive</x:v>
      </x:c>
      <x:c r="G255" s="8" t="str">
        <x:v>Server generated</x:v>
      </x:c>
      <x:c r="H255" s="8" t="str">
        <x:v>Retain original source and revision</x:v>
      </x:c>
      <x:c r="I255" s="8" t="str">
        <x:v>By approved record class policy</x:v>
      </x:c>
    </x:row>
    <x:row r="256" ht="35.25" customHeight="1">
      <x:c r="A256" s="7" t="str">
        <x:v>Submission</x:v>
      </x:c>
      <x:c r="B256" s="7" t="str">
        <x:v>tenant_id</x:v>
      </x:c>
      <x:c r="C256" s="7" t="str">
        <x:v>uuid</x:v>
      </x:c>
      <x:c r="D256" s="7" t="str">
        <x:v>Required</x:v>
      </x:c>
      <x:c r="E256" s="7" t="str">
        <x:v>Owning deployment boundary derived from verified server context. Format: uuid</x:v>
      </x:c>
      <x:c r="F256" s="7" t="str">
        <x:v>Sensitive</x:v>
      </x:c>
      <x:c r="G256" s="7" t="str">
        <x:v>Server generated</x:v>
      </x:c>
      <x:c r="H256" s="7" t="str">
        <x:v>Retain original source and revision</x:v>
      </x:c>
      <x:c r="I256" s="7" t="str">
        <x:v>By approved record class policy</x:v>
      </x:c>
    </x:row>
    <x:row r="257" ht="35.25" customHeight="1">
      <x:c r="A257" s="8" t="str">
        <x:v>Submission</x:v>
      </x:c>
      <x:c r="B257" s="8" t="str">
        <x:v>version</x:v>
      </x:c>
      <x:c r="C257" s="8" t="str">
        <x:v>bigint</x:v>
      </x:c>
      <x:c r="D257" s="8" t="str">
        <x:v>Required</x:v>
      </x:c>
      <x:c r="E257" s="8" t="str">
        <x:v>Monotonically increasing resource version used for concurrency and revision binding. Type: integer</x:v>
      </x:c>
      <x:c r="F257" s="8" t="str">
        <x:v>Sensitive</x:v>
      </x:c>
      <x:c r="G257" s="8" t="str">
        <x:v>Server generated</x:v>
      </x:c>
      <x:c r="H257" s="8" t="str">
        <x:v>Retain original source and revision</x:v>
      </x:c>
      <x:c r="I257" s="8" t="str">
        <x:v>By approved record class policy</x:v>
      </x:c>
    </x:row>
    <x:row r="258" ht="47.25" customHeight="1">
      <x:c r="A258" s="7" t="str">
        <x:v>Submission</x:v>
      </x:c>
      <x:c r="B258" s="7" t="str">
        <x:v>environment</x:v>
      </x:c>
      <x:c r="C258" s="7" t="str">
        <x:v>text</x:v>
      </x:c>
      <x:c r="D258" s="7" t="str">
        <x:v>Required</x:v>
      </x:c>
      <x:c r="E258" s="7" t="str">
        <x:v>Synthetic, test or production origin; environments must not exchange live credentials. Allowed values: synthetic, test, production</x:v>
      </x:c>
      <x:c r="F258" s="7" t="str">
        <x:v>Sensitive</x:v>
      </x:c>
      <x:c r="G258" s="7" t="str">
        <x:v>Server generated</x:v>
      </x:c>
      <x:c r="H258" s="7" t="str">
        <x:v>Retain original source and revision</x:v>
      </x:c>
      <x:c r="I258" s="7" t="str">
        <x:v>By approved record class policy</x:v>
      </x:c>
    </x:row>
    <x:row r="259" ht="35.25" customHeight="1">
      <x:c r="A259" s="8" t="str">
        <x:v>Submission</x:v>
      </x:c>
      <x:c r="B259" s="8" t="str">
        <x:v>created_at</x:v>
      </x:c>
      <x:c r="C259" s="8" t="str">
        <x:v>timestamptz</x:v>
      </x:c>
      <x:c r="D259" s="8" t="str">
        <x:v>Required</x:v>
      </x:c>
      <x:c r="E259" s="8" t="str">
        <x:v>Server timestamp at original resource creation. Format: date-time</x:v>
      </x:c>
      <x:c r="F259" s="8" t="str">
        <x:v>Sensitive</x:v>
      </x:c>
      <x:c r="G259" s="8" t="str">
        <x:v>Server generated</x:v>
      </x:c>
      <x:c r="H259" s="8" t="str">
        <x:v>Retain original source and revision</x:v>
      </x:c>
      <x:c r="I259" s="8" t="str">
        <x:v>By approved record class policy</x:v>
      </x:c>
    </x:row>
    <x:row r="260" ht="35.25" customHeight="1">
      <x:c r="A260" s="7" t="str">
        <x:v>Submission</x:v>
      </x:c>
      <x:c r="B260" s="7" t="str">
        <x:v>updated_at</x:v>
      </x:c>
      <x:c r="C260" s="7" t="str">
        <x:v>timestamptz</x:v>
      </x:c>
      <x:c r="D260" s="7" t="str">
        <x:v>Required</x:v>
      </x:c>
      <x:c r="E260" s="7" t="str">
        <x:v>Server timestamp at the latest current-pointer or lifecycle change. Format: date-time</x:v>
      </x:c>
      <x:c r="F260" s="7" t="str">
        <x:v>Sensitive</x:v>
      </x:c>
      <x:c r="G260" s="7" t="str">
        <x:v>Server generated</x:v>
      </x:c>
      <x:c r="H260" s="7" t="str">
        <x:v>Retain original source and revision</x:v>
      </x:c>
      <x:c r="I260" s="7" t="str">
        <x:v>By approved record class policy</x:v>
      </x:c>
    </x:row>
    <x:row r="261" ht="35.25" customHeight="1">
      <x:c r="A261" s="8" t="str">
        <x:v>Submission</x:v>
      </x:c>
      <x:c r="B261" s="8" t="str">
        <x:v>person_id</x:v>
      </x:c>
      <x:c r="C261" s="8" t="str">
        <x:v>uuid</x:v>
      </x:c>
      <x:c r="D261" s="8" t="str">
        <x:v>Required</x:v>
      </x:c>
      <x:c r="E261" s="8" t="str">
        <x:v>Subject person reference; must agree with the encounter and action context. Format: uuid</x:v>
      </x:c>
      <x:c r="F261" s="8" t="str">
        <x:v>Sensitive</x:v>
      </x:c>
      <x:c r="G261" s="8" t="str">
        <x:v>Authorised actor or verified source</x:v>
      </x:c>
      <x:c r="H261" s="8" t="str">
        <x:v>Retain original source and revision</x:v>
      </x:c>
      <x:c r="I261" s="8" t="str">
        <x:v>By approved record class policy</x:v>
      </x:c>
    </x:row>
    <x:row r="262" ht="35.25" customHeight="1">
      <x:c r="A262" s="7" t="str">
        <x:v>Submission</x:v>
      </x:c>
      <x:c r="B262" s="7" t="str">
        <x:v>encounter_id</x:v>
      </x:c>
      <x:c r="C262" s="7" t="str">
        <x:v>uuid</x:v>
      </x:c>
      <x:c r="D262" s="7" t="str">
        <x:v>Required</x:v>
      </x:c>
      <x:c r="E262" s="7" t="str">
        <x:v>Single-person encounter to which this resource belongs. Format: uuid</x:v>
      </x:c>
      <x:c r="F262" s="7" t="str">
        <x:v>Sensitive</x:v>
      </x:c>
      <x:c r="G262" s="7" t="str">
        <x:v>Authorised actor or verified source</x:v>
      </x:c>
      <x:c r="H262" s="7" t="str">
        <x:v>Retain original source and revision</x:v>
      </x:c>
      <x:c r="I262" s="7" t="str">
        <x:v>By approved record class policy</x:v>
      </x:c>
    </x:row>
    <x:row r="263" ht="35.25" customHeight="1">
      <x:c r="A263" s="8" t="str">
        <x:v>Submission</x:v>
      </x:c>
      <x:c r="B263" s="8" t="str">
        <x:v>connector_id</x:v>
      </x:c>
      <x:c r="C263" s="8" t="str">
        <x:v>uuid</x:v>
      </x:c>
      <x:c r="D263" s="8" t="str">
        <x:v>Required</x:v>
      </x:c>
      <x:c r="E263" s="8" t="str">
        <x:v>Destination connector with separately scoped owner authority. Format: uuid</x:v>
      </x:c>
      <x:c r="F263" s="8" t="str">
        <x:v>Sensitive</x:v>
      </x:c>
      <x:c r="G263" s="8" t="str">
        <x:v>Authorised actor or verified source</x:v>
      </x:c>
      <x:c r="H263" s="8" t="str">
        <x:v>Retain original source and revision</x:v>
      </x:c>
      <x:c r="I263" s="8" t="str">
        <x:v>By approved record class policy</x:v>
      </x:c>
    </x:row>
    <x:row r="264" ht="35.25" customHeight="1">
      <x:c r="A264" s="7" t="str">
        <x:v>Submission</x:v>
      </x:c>
      <x:c r="B264" s="7" t="str">
        <x:v>logical_action_id</x:v>
      </x:c>
      <x:c r="C264" s="7" t="str">
        <x:v>uuid</x:v>
      </x:c>
      <x:c r="D264" s="7" t="str">
        <x:v>Required</x:v>
      </x:c>
      <x:c r="E264" s="7" t="str">
        <x:v>Stable logical write identity retained across transport attempts. Format: uuid</x:v>
      </x:c>
      <x:c r="F264" s="7" t="str">
        <x:v>Sensitive</x:v>
      </x:c>
      <x:c r="G264" s="7" t="str">
        <x:v>Authorised actor or verified source</x:v>
      </x:c>
      <x:c r="H264" s="7" t="str">
        <x:v>Retain original source and revision</x:v>
      </x:c>
      <x:c r="I264" s="7" t="str">
        <x:v>By approved record class policy</x:v>
      </x:c>
    </x:row>
    <x:row r="265" ht="30" customHeight="1">
      <x:c r="A265" s="8" t="str">
        <x:v>Submission</x:v>
      </x:c>
      <x:c r="B265" s="8" t="str">
        <x:v>payload_ref</x:v>
      </x:c>
      <x:c r="C265" s="8" t="str">
        <x:v>text</x:v>
      </x:c>
      <x:c r="D265" s="8" t="str">
        <x:v>Required</x:v>
      </x:c>
      <x:c r="E265" s="8" t="str">
        <x:v>Controlled prepared payload object reference. Type: string</x:v>
      </x:c>
      <x:c r="F265" s="8" t="str">
        <x:v>Sensitive</x:v>
      </x:c>
      <x:c r="G265" s="8" t="str">
        <x:v>Authorised actor or verified source</x:v>
      </x:c>
      <x:c r="H265" s="8" t="str">
        <x:v>Retain original source and revision</x:v>
      </x:c>
      <x:c r="I265" s="8" t="str">
        <x:v>By approved record class policy</x:v>
      </x:c>
    </x:row>
    <x:row r="266" ht="35.25" customHeight="1">
      <x:c r="A266" s="7" t="str">
        <x:v>Submission</x:v>
      </x:c>
      <x:c r="B266" s="7" t="str">
        <x:v>payload_hash</x:v>
      </x:c>
      <x:c r="C266" s="7" t="str">
        <x:v>text</x:v>
      </x:c>
      <x:c r="D266" s="7" t="str">
        <x:v>Required</x:v>
      </x:c>
      <x:c r="E266" s="7" t="str">
        <x:v>Digest of the exact reviewed destination payload. Type: string</x:v>
      </x:c>
      <x:c r="F266" s="7" t="str">
        <x:v>Sensitive</x:v>
      </x:c>
      <x:c r="G266" s="7" t="str">
        <x:v>Authorised actor or verified source</x:v>
      </x:c>
      <x:c r="H266" s="7" t="str">
        <x:v>Retain original source and revision</x:v>
      </x:c>
      <x:c r="I266" s="7" t="str">
        <x:v>By approved record class policy</x:v>
      </x:c>
    </x:row>
    <x:row r="267" ht="35.25" customHeight="1">
      <x:c r="A267" s="8" t="str">
        <x:v>Submission</x:v>
      </x:c>
      <x:c r="B267" s="8" t="str">
        <x:v>mapping_version</x:v>
      </x:c>
      <x:c r="C267" s="8" t="str">
        <x:v>text</x:v>
      </x:c>
      <x:c r="D267" s="8" t="str">
        <x:v>Required</x:v>
      </x:c>
      <x:c r="E267" s="8" t="str">
        <x:v>Exact canonical-to-destination transformation used. Type: string</x:v>
      </x:c>
      <x:c r="F267" s="8" t="str">
        <x:v>Sensitive</x:v>
      </x:c>
      <x:c r="G267" s="8" t="str">
        <x:v>Authorised actor or verified source</x:v>
      </x:c>
      <x:c r="H267" s="8" t="str">
        <x:v>Retain original source and revision</x:v>
      </x:c>
      <x:c r="I267" s="8" t="str">
        <x:v>By approved record class policy</x:v>
      </x:c>
    </x:row>
    <x:row r="268" ht="35.25" customHeight="1">
      <x:c r="A268" s="7" t="str">
        <x:v>Submission</x:v>
      </x:c>
      <x:c r="B268" s="7" t="str">
        <x:v>source_refs</x:v>
      </x:c>
      <x:c r="C268" s="7" t="str">
        <x:v>jsonb</x:v>
      </x:c>
      <x:c r="D268" s="7" t="str">
        <x:v>Required</x:v>
      </x:c>
      <x:c r="E268" s="7" t="str">
        <x:v>Source fact revisions and records used in transformation. Type: array</x:v>
      </x:c>
      <x:c r="F268" s="7" t="str">
        <x:v>Sensitive</x:v>
      </x:c>
      <x:c r="G268" s="7" t="str">
        <x:v>Authorised actor or verified source</x:v>
      </x:c>
      <x:c r="H268" s="7" t="str">
        <x:v>Retain original source and revision</x:v>
      </x:c>
      <x:c r="I268" s="7" t="str">
        <x:v>By approved record class policy</x:v>
      </x:c>
    </x:row>
    <x:row r="269" ht="35.25" customHeight="1">
      <x:c r="A269" s="8" t="str">
        <x:v>Submission</x:v>
      </x:c>
      <x:c r="B269" s="8" t="str">
        <x:v>authority_id</x:v>
      </x:c>
      <x:c r="C269" s="8" t="str">
        <x:v>uuid</x:v>
      </x:c>
      <x:c r="D269" s="8" t="str">
        <x:v>Required</x:v>
      </x:c>
      <x:c r="E269" s="8" t="str">
        <x:v>Current matching processing authority required for this action. Format: uuid</x:v>
      </x:c>
      <x:c r="F269" s="8" t="str">
        <x:v>Sensitive</x:v>
      </x:c>
      <x:c r="G269" s="8" t="str">
        <x:v>Authorised actor or verified source</x:v>
      </x:c>
      <x:c r="H269" s="8" t="str">
        <x:v>Retain original source and revision</x:v>
      </x:c>
      <x:c r="I269" s="8" t="str">
        <x:v>By approved record class policy</x:v>
      </x:c>
    </x:row>
    <x:row r="270" ht="35.25" customHeight="1">
      <x:c r="A270" s="7" t="str">
        <x:v>Submission</x:v>
      </x:c>
      <x:c r="B270" s="7" t="str">
        <x:v>approval_id</x:v>
      </x:c>
      <x:c r="C270" s="7" t="str">
        <x:v>uuid</x:v>
      </x:c>
      <x:c r="D270" s="7" t="str">
        <x:v>Required</x:v>
      </x:c>
      <x:c r="E270" s="7" t="str">
        <x:v>Exact action approval required before dispatch. Format: uuid</x:v>
      </x:c>
      <x:c r="F270" s="7" t="str">
        <x:v>Sensitive</x:v>
      </x:c>
      <x:c r="G270" s="7" t="str">
        <x:v>Authorised actor or verified source</x:v>
      </x:c>
      <x:c r="H270" s="7" t="str">
        <x:v>Retain original source and revision</x:v>
      </x:c>
      <x:c r="I270" s="7" t="str">
        <x:v>By approved record class policy</x:v>
      </x:c>
    </x:row>
    <x:row r="271" ht="35.25" customHeight="1">
      <x:c r="A271" s="8" t="str">
        <x:v>Submission</x:v>
      </x:c>
      <x:c r="B271" s="8" t="str">
        <x:v>state</x:v>
      </x:c>
      <x:c r="C271" s="8" t="str">
        <x:v>text</x:v>
      </x:c>
      <x:c r="D271" s="8" t="str">
        <x:v>Required</x:v>
      </x:c>
      <x:c r="E271" s="8" t="str">
        <x:v>Allowed values: prepared, authorised, queued, sent, accepted, rejected, uncertain, cancelled</x:v>
      </x:c>
      <x:c r="F271" s="8" t="str">
        <x:v>Sensitive</x:v>
      </x:c>
      <x:c r="G271" s="8" t="str">
        <x:v>Authorised actor or verified source</x:v>
      </x:c>
      <x:c r="H271" s="8" t="str">
        <x:v>Retain original source and revision</x:v>
      </x:c>
      <x:c r="I271" s="8" t="str">
        <x:v>By approved record class policy</x:v>
      </x:c>
    </x:row>
    <x:row r="272" ht="35.25" customHeight="1">
      <x:c r="A272" s="7" t="str">
        <x:v>Submission</x:v>
      </x:c>
      <x:c r="B272" s="7" t="str">
        <x:v>destination_receipt_ref</x:v>
      </x:c>
      <x:c r="C272" s="7" t="str">
        <x:v>text</x:v>
      </x:c>
      <x:c r="D272" s="7" t="str">
        <x:v>Optional</x:v>
      </x:c>
      <x:c r="E272" s="7" t="str">
        <x:v>Verified destination evidence of business acceptance. Type: string</x:v>
      </x:c>
      <x:c r="F272" s="7" t="str">
        <x:v>Sensitive</x:v>
      </x:c>
      <x:c r="G272" s="7" t="str">
        <x:v>Authorised actor or verified source</x:v>
      </x:c>
      <x:c r="H272" s="7" t="str">
        <x:v>Retain original source and revision</x:v>
      </x:c>
      <x:c r="I272" s="7" t="str">
        <x:v>By approved record class policy</x:v>
      </x:c>
    </x:row>
    <x:row r="273" ht="35.25" customHeight="1">
      <x:c r="A273" s="8" t="str">
        <x:v>Submission</x:v>
      </x:c>
      <x:c r="B273" s="8" t="str">
        <x:v>destination_version</x:v>
      </x:c>
      <x:c r="C273" s="8" t="str">
        <x:v>text</x:v>
      </x:c>
      <x:c r="D273" s="8" t="str">
        <x:v>Optional</x:v>
      </x:c>
      <x:c r="E273" s="8" t="str">
        <x:v>External record version used for reconciliation or conditional updates. Type: string</x:v>
      </x:c>
      <x:c r="F273" s="8" t="str">
        <x:v>Sensitive</x:v>
      </x:c>
      <x:c r="G273" s="8" t="str">
        <x:v>Authorised actor or verified source</x:v>
      </x:c>
      <x:c r="H273" s="8" t="str">
        <x:v>Retain original source and revision</x:v>
      </x:c>
      <x:c r="I273" s="8" t="str">
        <x:v>By approved record class policy</x:v>
      </x:c>
    </x:row>
    <x:row r="274" ht="35.25" customHeight="1">
      <x:c r="A274" s="7" t="str">
        <x:v>Submission</x:v>
      </x:c>
      <x:c r="B274" s="7" t="str">
        <x:v>last_error_code</x:v>
      </x:c>
      <x:c r="C274" s="7" t="str">
        <x:v>text</x:v>
      </x:c>
      <x:c r="D274" s="7" t="str">
        <x:v>Optional</x:v>
      </x:c>
      <x:c r="E274" s="7" t="str">
        <x:v>Most recent classified rejection or transport failure. Type: string</x:v>
      </x:c>
      <x:c r="F274" s="7" t="str">
        <x:v>Sensitive</x:v>
      </x:c>
      <x:c r="G274" s="7" t="str">
        <x:v>Authorised actor or verified source</x:v>
      </x:c>
      <x:c r="H274" s="7" t="str">
        <x:v>Retain original source and revision</x:v>
      </x:c>
      <x:c r="I274" s="7" t="str">
        <x:v>By approved record class policy</x:v>
      </x:c>
    </x:row>
    <x:row r="275" ht="35.25" customHeight="1">
      <x:c r="A275" s="8" t="str">
        <x:v>Submission</x:v>
      </x:c>
      <x:c r="B275" s="8" t="str">
        <x:v>attempt_count</x:v>
      </x:c>
      <x:c r="C275" s="8" t="str">
        <x:v>bigint</x:v>
      </x:c>
      <x:c r="D275" s="8" t="str">
        <x:v>Required</x:v>
      </x:c>
      <x:c r="E275" s="8" t="str">
        <x:v>Number of actual dispatch attempts; reconciliation is counted separately. Type: integer</x:v>
      </x:c>
      <x:c r="F275" s="8" t="str">
        <x:v>Sensitive</x:v>
      </x:c>
      <x:c r="G275" s="8" t="str">
        <x:v>Authorised actor or verified source</x:v>
      </x:c>
      <x:c r="H275" s="8" t="str">
        <x:v>Retain original source and revision</x:v>
      </x:c>
      <x:c r="I275" s="8" t="str">
        <x:v>By approved record class policy</x:v>
      </x:c>
    </x:row>
    <x:row r="276" ht="35.25" customHeight="1">
      <x:c r="A276" s="7" t="str">
        <x:v>Exchange</x:v>
      </x:c>
      <x:c r="B276" s="7" t="str">
        <x:v>id</x:v>
      </x:c>
      <x:c r="C276" s="7" t="str">
        <x:v>uuid</x:v>
      </x:c>
      <x:c r="D276" s="7" t="str">
        <x:v>Required</x:v>
      </x:c>
      <x:c r="E276" s="7" t="str">
        <x:v>Stable platform resource identifier, independent of external patient identifiers. Format: uuid</x:v>
      </x:c>
      <x:c r="F276" s="7" t="str">
        <x:v>Sensitive</x:v>
      </x:c>
      <x:c r="G276" s="7" t="str">
        <x:v>Server generated</x:v>
      </x:c>
      <x:c r="H276" s="7" t="str">
        <x:v>Retain original source and revision</x:v>
      </x:c>
      <x:c r="I276" s="7" t="str">
        <x:v>By approved record class policy</x:v>
      </x:c>
    </x:row>
    <x:row r="277" ht="35.25" customHeight="1">
      <x:c r="A277" s="8" t="str">
        <x:v>Exchange</x:v>
      </x:c>
      <x:c r="B277" s="8" t="str">
        <x:v>tenant_id</x:v>
      </x:c>
      <x:c r="C277" s="8" t="str">
        <x:v>uuid</x:v>
      </x:c>
      <x:c r="D277" s="8" t="str">
        <x:v>Required</x:v>
      </x:c>
      <x:c r="E277" s="8" t="str">
        <x:v>Owning deployment boundary derived from verified server context. Format: uuid</x:v>
      </x:c>
      <x:c r="F277" s="8" t="str">
        <x:v>Sensitive</x:v>
      </x:c>
      <x:c r="G277" s="8" t="str">
        <x:v>Server generated</x:v>
      </x:c>
      <x:c r="H277" s="8" t="str">
        <x:v>Retain original source and revision</x:v>
      </x:c>
      <x:c r="I277" s="8" t="str">
        <x:v>By approved record class policy</x:v>
      </x:c>
    </x:row>
    <x:row r="278" ht="35.25" customHeight="1">
      <x:c r="A278" s="7" t="str">
        <x:v>Exchange</x:v>
      </x:c>
      <x:c r="B278" s="7" t="str">
        <x:v>version</x:v>
      </x:c>
      <x:c r="C278" s="7" t="str">
        <x:v>bigint</x:v>
      </x:c>
      <x:c r="D278" s="7" t="str">
        <x:v>Required</x:v>
      </x:c>
      <x:c r="E278" s="7" t="str">
        <x:v>Monotonically increasing resource version used for concurrency and revision binding. Type: integer</x:v>
      </x:c>
      <x:c r="F278" s="7" t="str">
        <x:v>Sensitive</x:v>
      </x:c>
      <x:c r="G278" s="7" t="str">
        <x:v>Server generated</x:v>
      </x:c>
      <x:c r="H278" s="7" t="str">
        <x:v>Retain original source and revision</x:v>
      </x:c>
      <x:c r="I278" s="7" t="str">
        <x:v>By approved record class policy</x:v>
      </x:c>
    </x:row>
    <x:row r="279" ht="47.25" customHeight="1">
      <x:c r="A279" s="8" t="str">
        <x:v>Exchange</x:v>
      </x:c>
      <x:c r="B279" s="8" t="str">
        <x:v>environment</x:v>
      </x:c>
      <x:c r="C279" s="8" t="str">
        <x:v>text</x:v>
      </x:c>
      <x:c r="D279" s="8" t="str">
        <x:v>Required</x:v>
      </x:c>
      <x:c r="E279" s="8" t="str">
        <x:v>Synthetic, test or production origin; environments must not exchange live credentials. Allowed values: synthetic, test, production</x:v>
      </x:c>
      <x:c r="F279" s="8" t="str">
        <x:v>Sensitive</x:v>
      </x:c>
      <x:c r="G279" s="8" t="str">
        <x:v>Server generated</x:v>
      </x:c>
      <x:c r="H279" s="8" t="str">
        <x:v>Retain original source and revision</x:v>
      </x:c>
      <x:c r="I279" s="8" t="str">
        <x:v>By approved record class policy</x:v>
      </x:c>
    </x:row>
    <x:row r="280" ht="35.25" customHeight="1">
      <x:c r="A280" s="7" t="str">
        <x:v>Exchange</x:v>
      </x:c>
      <x:c r="B280" s="7" t="str">
        <x:v>created_at</x:v>
      </x:c>
      <x:c r="C280" s="7" t="str">
        <x:v>timestamptz</x:v>
      </x:c>
      <x:c r="D280" s="7" t="str">
        <x:v>Required</x:v>
      </x:c>
      <x:c r="E280" s="7" t="str">
        <x:v>Server timestamp at original resource creation. Format: date-time</x:v>
      </x:c>
      <x:c r="F280" s="7" t="str">
        <x:v>Sensitive</x:v>
      </x:c>
      <x:c r="G280" s="7" t="str">
        <x:v>Server generated</x:v>
      </x:c>
      <x:c r="H280" s="7" t="str">
        <x:v>Retain original source and revision</x:v>
      </x:c>
      <x:c r="I280" s="7" t="str">
        <x:v>By approved record class policy</x:v>
      </x:c>
    </x:row>
    <x:row r="281" ht="35.25" customHeight="1">
      <x:c r="A281" s="8" t="str">
        <x:v>Exchange</x:v>
      </x:c>
      <x:c r="B281" s="8" t="str">
        <x:v>updated_at</x:v>
      </x:c>
      <x:c r="C281" s="8" t="str">
        <x:v>timestamptz</x:v>
      </x:c>
      <x:c r="D281" s="8" t="str">
        <x:v>Required</x:v>
      </x:c>
      <x:c r="E281" s="8" t="str">
        <x:v>Server timestamp at the latest current-pointer or lifecycle change. Format: date-time</x:v>
      </x:c>
      <x:c r="F281" s="8" t="str">
        <x:v>Sensitive</x:v>
      </x:c>
      <x:c r="G281" s="8" t="str">
        <x:v>Server generated</x:v>
      </x:c>
      <x:c r="H281" s="8" t="str">
        <x:v>Retain original source and revision</x:v>
      </x:c>
      <x:c r="I281" s="8" t="str">
        <x:v>By approved record class policy</x:v>
      </x:c>
    </x:row>
    <x:row r="282" ht="35.25" customHeight="1">
      <x:c r="A282" s="7" t="str">
        <x:v>Exchange</x:v>
      </x:c>
      <x:c r="B282" s="7" t="str">
        <x:v>person_id</x:v>
      </x:c>
      <x:c r="C282" s="7" t="str">
        <x:v>uuid</x:v>
      </x:c>
      <x:c r="D282" s="7" t="str">
        <x:v>Required</x:v>
      </x:c>
      <x:c r="E282" s="7" t="str">
        <x:v>Subject person reference; must agree with the encounter and action context. Format: uuid</x:v>
      </x:c>
      <x:c r="F282" s="7" t="str">
        <x:v>Sensitive</x:v>
      </x:c>
      <x:c r="G282" s="7" t="str">
        <x:v>Authorised actor or verified source</x:v>
      </x:c>
      <x:c r="H282" s="7" t="str">
        <x:v>Retain original source and revision</x:v>
      </x:c>
      <x:c r="I282" s="7" t="str">
        <x:v>By approved record class policy</x:v>
      </x:c>
    </x:row>
    <x:row r="283" ht="35.25" customHeight="1">
      <x:c r="A283" s="8" t="str">
        <x:v>Exchange</x:v>
      </x:c>
      <x:c r="B283" s="8" t="str">
        <x:v>connector_id</x:v>
      </x:c>
      <x:c r="C283" s="8" t="str">
        <x:v>uuid</x:v>
      </x:c>
      <x:c r="D283" s="8" t="str">
        <x:v>Required</x:v>
      </x:c>
      <x:c r="E283" s="8" t="str">
        <x:v>Destination connector with separately scoped owner authority. Format: uuid</x:v>
      </x:c>
      <x:c r="F283" s="8" t="str">
        <x:v>Sensitive</x:v>
      </x:c>
      <x:c r="G283" s="8" t="str">
        <x:v>Authorised actor or verified source</x:v>
      </x:c>
      <x:c r="H283" s="8" t="str">
        <x:v>Retain original source and revision</x:v>
      </x:c>
      <x:c r="I283" s="8" t="str">
        <x:v>By approved record class policy</x:v>
      </x:c>
    </x:row>
    <x:row r="284" ht="30" customHeight="1">
      <x:c r="A284" s="7" t="str">
        <x:v>Exchange</x:v>
      </x:c>
      <x:c r="B284" s="7" t="str">
        <x:v>role</x:v>
      </x:c>
      <x:c r="C284" s="7" t="str">
        <x:v>text</x:v>
      </x:c>
      <x:c r="D284" s="7" t="str">
        <x:v>Required</x:v>
      </x:c>
      <x:c r="E284" s="7" t="str">
        <x:v>Allowed values: hip, hiu</x:v>
      </x:c>
      <x:c r="F284" s="7" t="str">
        <x:v>Sensitive</x:v>
      </x:c>
      <x:c r="G284" s="7" t="str">
        <x:v>Authorised actor or verified source</x:v>
      </x:c>
      <x:c r="H284" s="7" t="str">
        <x:v>Retain original source and revision</x:v>
      </x:c>
      <x:c r="I284" s="7" t="str">
        <x:v>By approved record class policy</x:v>
      </x:c>
    </x:row>
    <x:row r="285" ht="35.25" customHeight="1">
      <x:c r="A285" s="8" t="str">
        <x:v>Exchange</x:v>
      </x:c>
      <x:c r="B285" s="8" t="str">
        <x:v>authority_id</x:v>
      </x:c>
      <x:c r="C285" s="8" t="str">
        <x:v>uuid</x:v>
      </x:c>
      <x:c r="D285" s="8" t="str">
        <x:v>Required</x:v>
      </x:c>
      <x:c r="E285" s="8" t="str">
        <x:v>Current matching processing authority required for this action. Format: uuid</x:v>
      </x:c>
      <x:c r="F285" s="8" t="str">
        <x:v>Sensitive</x:v>
      </x:c>
      <x:c r="G285" s="8" t="str">
        <x:v>Authorised actor or verified source</x:v>
      </x:c>
      <x:c r="H285" s="8" t="str">
        <x:v>Retain original source and revision</x:v>
      </x:c>
      <x:c r="I285" s="8" t="str">
        <x:v>By approved record class policy</x:v>
      </x:c>
    </x:row>
    <x:row r="286" ht="35.25" customHeight="1">
      <x:c r="A286" s="7" t="str">
        <x:v>Exchange</x:v>
      </x:c>
      <x:c r="B286" s="7" t="str">
        <x:v>external_transaction_ref</x:v>
      </x:c>
      <x:c r="C286" s="7" t="str">
        <x:v>text</x:v>
      </x:c>
      <x:c r="D286" s="7" t="str">
        <x:v>Optional</x:v>
      </x:c>
      <x:c r="E286" s="7" t="str">
        <x:v>Authenticated external exchange correlation identifier. Type: string</x:v>
      </x:c>
      <x:c r="F286" s="7" t="str">
        <x:v>Sensitive</x:v>
      </x:c>
      <x:c r="G286" s="7" t="str">
        <x:v>Authorised actor or verified source</x:v>
      </x:c>
      <x:c r="H286" s="7" t="str">
        <x:v>Retain original source and revision</x:v>
      </x:c>
      <x:c r="I286" s="7" t="str">
        <x:v>By approved record class policy</x:v>
      </x:c>
    </x:row>
    <x:row r="287" ht="35.25" customHeight="1">
      <x:c r="A287" s="8" t="str">
        <x:v>Exchange</x:v>
      </x:c>
      <x:c r="B287" s="8" t="str">
        <x:v>data_types</x:v>
      </x:c>
      <x:c r="C287" s="8" t="str">
        <x:v>jsonb</x:v>
      </x:c>
      <x:c r="D287" s="8" t="str">
        <x:v>Required</x:v>
      </x:c>
      <x:c r="E287" s="8" t="str">
        <x:v>Permitted health information classes or canonical resource categories. Type: array</x:v>
      </x:c>
      <x:c r="F287" s="8" t="str">
        <x:v>Sensitive</x:v>
      </x:c>
      <x:c r="G287" s="8" t="str">
        <x:v>Authorised actor or verified source</x:v>
      </x:c>
      <x:c r="H287" s="8" t="str">
        <x:v>Retain original source and revision</x:v>
      </x:c>
      <x:c r="I287" s="8" t="str">
        <x:v>By approved record class policy</x:v>
      </x:c>
    </x:row>
    <x:row r="288" ht="35.25" customHeight="1">
      <x:c r="A288" s="7" t="str">
        <x:v>Exchange</x:v>
      </x:c>
      <x:c r="B288" s="7" t="str">
        <x:v>date_from</x:v>
      </x:c>
      <x:c r="C288" s="7" t="str">
        <x:v>timestamptz</x:v>
      </x:c>
      <x:c r="D288" s="7" t="str">
        <x:v>Required</x:v>
      </x:c>
      <x:c r="E288" s="7" t="str">
        <x:v>Start of the authorised clinical data period. Format: date-time</x:v>
      </x:c>
      <x:c r="F288" s="7" t="str">
        <x:v>Sensitive</x:v>
      </x:c>
      <x:c r="G288" s="7" t="str">
        <x:v>Authorised actor or verified source</x:v>
      </x:c>
      <x:c r="H288" s="7" t="str">
        <x:v>Retain original source and revision</x:v>
      </x:c>
      <x:c r="I288" s="7" t="str">
        <x:v>By approved record class policy</x:v>
      </x:c>
    </x:row>
    <x:row r="289" ht="35.25" customHeight="1">
      <x:c r="A289" s="8" t="str">
        <x:v>Exchange</x:v>
      </x:c>
      <x:c r="B289" s="8" t="str">
        <x:v>date_to</x:v>
      </x:c>
      <x:c r="C289" s="8" t="str">
        <x:v>timestamptz</x:v>
      </x:c>
      <x:c r="D289" s="8" t="str">
        <x:v>Required</x:v>
      </x:c>
      <x:c r="E289" s="8" t="str">
        <x:v>End of the authorised clinical data period. Format: date-time</x:v>
      </x:c>
      <x:c r="F289" s="8" t="str">
        <x:v>Sensitive</x:v>
      </x:c>
      <x:c r="G289" s="8" t="str">
        <x:v>Authorised actor or verified source</x:v>
      </x:c>
      <x:c r="H289" s="8" t="str">
        <x:v>Retain original source and revision</x:v>
      </x:c>
      <x:c r="I289" s="8" t="str">
        <x:v>By approved record class policy</x:v>
      </x:c>
    </x:row>
    <x:row r="290" ht="47.25" customHeight="1">
      <x:c r="A290" s="7" t="str">
        <x:v>Exchange</x:v>
      </x:c>
      <x:c r="B290" s="7" t="str">
        <x:v>state</x:v>
      </x:c>
      <x:c r="C290" s="7" t="str">
        <x:v>text</x:v>
      </x:c>
      <x:c r="D290" s="7" t="str">
        <x:v>Required</x:v>
      </x:c>
      <x:c r="E290" s="7" t="str">
        <x:v>Allowed values: requested, awaiting_consent, authorised, transferring, received, validated, published, denied, expired, revoked, failed, quarantined</x:v>
      </x:c>
      <x:c r="F290" s="7" t="str">
        <x:v>Sensitive</x:v>
      </x:c>
      <x:c r="G290" s="7" t="str">
        <x:v>Authorised actor or verified source</x:v>
      </x:c>
      <x:c r="H290" s="7" t="str">
        <x:v>Retain original source and revision</x:v>
      </x:c>
      <x:c r="I290" s="7" t="str">
        <x:v>By approved record class policy</x:v>
      </x:c>
    </x:row>
    <x:row r="291" ht="35.25" customHeight="1">
      <x:c r="A291" s="8" t="str">
        <x:v>Exchange</x:v>
      </x:c>
      <x:c r="B291" s="8" t="str">
        <x:v>profile_package</x:v>
      </x:c>
      <x:c r="C291" s="8" t="str">
        <x:v>text</x:v>
      </x:c>
      <x:c r="D291" s="8" t="str">
        <x:v>Required</x:v>
      </x:c>
      <x:c r="E291" s="8" t="str">
        <x:v>Pinned clinical interoperability profile package and version. Type: string</x:v>
      </x:c>
      <x:c r="F291" s="8" t="str">
        <x:v>Sensitive</x:v>
      </x:c>
      <x:c r="G291" s="8" t="str">
        <x:v>Authorised actor or verified source</x:v>
      </x:c>
      <x:c r="H291" s="8" t="str">
        <x:v>Retain original source and revision</x:v>
      </x:c>
      <x:c r="I291" s="8" t="str">
        <x:v>By approved record class policy</x:v>
      </x:c>
    </x:row>
    <x:row r="292" ht="35.25" customHeight="1">
      <x:c r="A292" s="7" t="str">
        <x:v>Exchange</x:v>
      </x:c>
      <x:c r="B292" s="7" t="str">
        <x:v>bundle_refs</x:v>
      </x:c>
      <x:c r="C292" s="7" t="str">
        <x:v>jsonb</x:v>
      </x:c>
      <x:c r="D292" s="7" t="str">
        <x:v>Required</x:v>
      </x:c>
      <x:c r="E292" s="7" t="str">
        <x:v>Controlled clinical document bundle references with preserved source provenance. Type: array</x:v>
      </x:c>
      <x:c r="F292" s="7" t="str">
        <x:v>Sensitive</x:v>
      </x:c>
      <x:c r="G292" s="7" t="str">
        <x:v>Authorised actor or verified source</x:v>
      </x:c>
      <x:c r="H292" s="7" t="str">
        <x:v>Retain original source and revision</x:v>
      </x:c>
      <x:c r="I292" s="7" t="str">
        <x:v>By approved record class policy</x:v>
      </x:c>
    </x:row>
    <x:row r="293" ht="35.25" customHeight="1">
      <x:c r="A293" s="8" t="str">
        <x:v>Exchange</x:v>
      </x:c>
      <x:c r="B293" s="8" t="str">
        <x:v>validation_ref</x:v>
      </x:c>
      <x:c r="C293" s="8" t="str">
        <x:v>text</x:v>
      </x:c>
      <x:c r="D293" s="8" t="str">
        <x:v>Optional</x:v>
      </x:c>
      <x:c r="E293" s="8" t="str">
        <x:v>Evidence of structural and semantic validation of the exchange. Type: string</x:v>
      </x:c>
      <x:c r="F293" s="8" t="str">
        <x:v>Sensitive</x:v>
      </x:c>
      <x:c r="G293" s="8" t="str">
        <x:v>Authorised actor or verified source</x:v>
      </x:c>
      <x:c r="H293" s="8" t="str">
        <x:v>Retain original source and revision</x:v>
      </x:c>
      <x:c r="I293" s="8" t="str">
        <x:v>By approved record class policy</x:v>
      </x:c>
    </x:row>
    <x:row r="294" ht="35.25" customHeight="1">
      <x:c r="A294" s="7" t="str">
        <x:v>OfflineLease</x:v>
      </x:c>
      <x:c r="B294" s="7" t="str">
        <x:v>id</x:v>
      </x:c>
      <x:c r="C294" s="7" t="str">
        <x:v>uuid</x:v>
      </x:c>
      <x:c r="D294" s="7" t="str">
        <x:v>Required</x:v>
      </x:c>
      <x:c r="E294" s="7" t="str">
        <x:v>Stable platform resource identifier, independent of external patient identifiers. Format: uuid</x:v>
      </x:c>
      <x:c r="F294" s="7" t="str">
        <x:v>Sensitive</x:v>
      </x:c>
      <x:c r="G294" s="7" t="str">
        <x:v>Server generated</x:v>
      </x:c>
      <x:c r="H294" s="7" t="str">
        <x:v>Retain original source and revision</x:v>
      </x:c>
      <x:c r="I294" s="7" t="str">
        <x:v>By approved record class policy</x:v>
      </x:c>
    </x:row>
    <x:row r="295" ht="35.25" customHeight="1">
      <x:c r="A295" s="8" t="str">
        <x:v>OfflineLease</x:v>
      </x:c>
      <x:c r="B295" s="8" t="str">
        <x:v>tenant_id</x:v>
      </x:c>
      <x:c r="C295" s="8" t="str">
        <x:v>uuid</x:v>
      </x:c>
      <x:c r="D295" s="8" t="str">
        <x:v>Required</x:v>
      </x:c>
      <x:c r="E295" s="8" t="str">
        <x:v>Owning deployment boundary derived from verified server context. Format: uuid</x:v>
      </x:c>
      <x:c r="F295" s="8" t="str">
        <x:v>Sensitive</x:v>
      </x:c>
      <x:c r="G295" s="8" t="str">
        <x:v>Server generated</x:v>
      </x:c>
      <x:c r="H295" s="8" t="str">
        <x:v>Retain original source and revision</x:v>
      </x:c>
      <x:c r="I295" s="8" t="str">
        <x:v>By approved record class policy</x:v>
      </x:c>
    </x:row>
    <x:row r="296" ht="35.25" customHeight="1">
      <x:c r="A296" s="7" t="str">
        <x:v>OfflineLease</x:v>
      </x:c>
      <x:c r="B296" s="7" t="str">
        <x:v>version</x:v>
      </x:c>
      <x:c r="C296" s="7" t="str">
        <x:v>bigint</x:v>
      </x:c>
      <x:c r="D296" s="7" t="str">
        <x:v>Required</x:v>
      </x:c>
      <x:c r="E296" s="7" t="str">
        <x:v>Monotonically increasing resource version used for concurrency and revision binding. Type: integer</x:v>
      </x:c>
      <x:c r="F296" s="7" t="str">
        <x:v>Sensitive</x:v>
      </x:c>
      <x:c r="G296" s="7" t="str">
        <x:v>Server generated</x:v>
      </x:c>
      <x:c r="H296" s="7" t="str">
        <x:v>Retain original source and revision</x:v>
      </x:c>
      <x:c r="I296" s="7" t="str">
        <x:v>By approved record class policy</x:v>
      </x:c>
    </x:row>
    <x:row r="297" ht="47.25" customHeight="1">
      <x:c r="A297" s="8" t="str">
        <x:v>OfflineLease</x:v>
      </x:c>
      <x:c r="B297" s="8" t="str">
        <x:v>environment</x:v>
      </x:c>
      <x:c r="C297" s="8" t="str">
        <x:v>text</x:v>
      </x:c>
      <x:c r="D297" s="8" t="str">
        <x:v>Required</x:v>
      </x:c>
      <x:c r="E297" s="8" t="str">
        <x:v>Synthetic, test or production origin; environments must not exchange live credentials. Allowed values: synthetic, test, production</x:v>
      </x:c>
      <x:c r="F297" s="8" t="str">
        <x:v>Sensitive</x:v>
      </x:c>
      <x:c r="G297" s="8" t="str">
        <x:v>Server generated</x:v>
      </x:c>
      <x:c r="H297" s="8" t="str">
        <x:v>Retain original source and revision</x:v>
      </x:c>
      <x:c r="I297" s="8" t="str">
        <x:v>By approved record class policy</x:v>
      </x:c>
    </x:row>
    <x:row r="298" ht="35.25" customHeight="1">
      <x:c r="A298" s="7" t="str">
        <x:v>OfflineLease</x:v>
      </x:c>
      <x:c r="B298" s="7" t="str">
        <x:v>created_at</x:v>
      </x:c>
      <x:c r="C298" s="7" t="str">
        <x:v>timestamptz</x:v>
      </x:c>
      <x:c r="D298" s="7" t="str">
        <x:v>Required</x:v>
      </x:c>
      <x:c r="E298" s="7" t="str">
        <x:v>Server timestamp at original resource creation. Format: date-time</x:v>
      </x:c>
      <x:c r="F298" s="7" t="str">
        <x:v>Sensitive</x:v>
      </x:c>
      <x:c r="G298" s="7" t="str">
        <x:v>Server generated</x:v>
      </x:c>
      <x:c r="H298" s="7" t="str">
        <x:v>Retain original source and revision</x:v>
      </x:c>
      <x:c r="I298" s="7" t="str">
        <x:v>By approved record class policy</x:v>
      </x:c>
    </x:row>
    <x:row r="299" ht="35.25" customHeight="1">
      <x:c r="A299" s="8" t="str">
        <x:v>OfflineLease</x:v>
      </x:c>
      <x:c r="B299" s="8" t="str">
        <x:v>updated_at</x:v>
      </x:c>
      <x:c r="C299" s="8" t="str">
        <x:v>timestamptz</x:v>
      </x:c>
      <x:c r="D299" s="8" t="str">
        <x:v>Required</x:v>
      </x:c>
      <x:c r="E299" s="8" t="str">
        <x:v>Server timestamp at the latest current-pointer or lifecycle change. Format: date-time</x:v>
      </x:c>
      <x:c r="F299" s="8" t="str">
        <x:v>Sensitive</x:v>
      </x:c>
      <x:c r="G299" s="8" t="str">
        <x:v>Server generated</x:v>
      </x:c>
      <x:c r="H299" s="8" t="str">
        <x:v>Retain original source and revision</x:v>
      </x:c>
      <x:c r="I299" s="8" t="str">
        <x:v>By approved record class policy</x:v>
      </x:c>
    </x:row>
    <x:row r="300" ht="35.25" customHeight="1">
      <x:c r="A300" s="7" t="str">
        <x:v>OfflineLease</x:v>
      </x:c>
      <x:c r="B300" s="7" t="str">
        <x:v>user_id</x:v>
      </x:c>
      <x:c r="C300" s="7" t="str">
        <x:v>uuid</x:v>
      </x:c>
      <x:c r="D300" s="7" t="str">
        <x:v>Required</x:v>
      </x:c>
      <x:c r="E300" s="7" t="str">
        <x:v>Verified workforce principal entitled to the device lease. Format: uuid</x:v>
      </x:c>
      <x:c r="F300" s="7" t="str">
        <x:v>Sensitive</x:v>
      </x:c>
      <x:c r="G300" s="7" t="str">
        <x:v>Authorised actor or verified source</x:v>
      </x:c>
      <x:c r="H300" s="7" t="str">
        <x:v>Retain original source and revision</x:v>
      </x:c>
      <x:c r="I300" s="7" t="str">
        <x:v>By approved record class policy</x:v>
      </x:c>
    </x:row>
    <x:row r="301" ht="35.25" customHeight="1">
      <x:c r="A301" s="8" t="str">
        <x:v>OfflineLease</x:v>
      </x:c>
      <x:c r="B301" s="8" t="str">
        <x:v>device_id</x:v>
      </x:c>
      <x:c r="C301" s="8" t="str">
        <x:v>uuid</x:v>
      </x:c>
      <x:c r="D301" s="8" t="str">
        <x:v>Required</x:v>
      </x:c>
      <x:c r="E301" s="8" t="str">
        <x:v>Registered device identifier bound to the lease. Format: uuid</x:v>
      </x:c>
      <x:c r="F301" s="8" t="str">
        <x:v>Sensitive</x:v>
      </x:c>
      <x:c r="G301" s="8" t="str">
        <x:v>Authorised actor or verified source</x:v>
      </x:c>
      <x:c r="H301" s="8" t="str">
        <x:v>Retain original source and revision</x:v>
      </x:c>
      <x:c r="I301" s="8" t="str">
        <x:v>By approved record class policy</x:v>
      </x:c>
    </x:row>
    <x:row r="302" ht="35.25" customHeight="1">
      <x:c r="A302" s="7" t="str">
        <x:v>OfflineLease</x:v>
      </x:c>
      <x:c r="B302" s="7" t="str">
        <x:v>record_scope_hash</x:v>
      </x:c>
      <x:c r="C302" s="7" t="str">
        <x:v>text</x:v>
      </x:c>
      <x:c r="D302" s="7" t="str">
        <x:v>Required</x:v>
      </x:c>
      <x:c r="E302" s="7" t="str">
        <x:v>Digest of the exact records available under an offline lease. Type: string</x:v>
      </x:c>
      <x:c r="F302" s="7" t="str">
        <x:v>Sensitive</x:v>
      </x:c>
      <x:c r="G302" s="7" t="str">
        <x:v>Authorised actor or verified source</x:v>
      </x:c>
      <x:c r="H302" s="7" t="str">
        <x:v>Retain original source and revision</x:v>
      </x:c>
      <x:c r="I302" s="7" t="str">
        <x:v>By approved record class policy</x:v>
      </x:c>
    </x:row>
    <x:row r="303" ht="35.25" customHeight="1">
      <x:c r="A303" s="8" t="str">
        <x:v>OfflineLease</x:v>
      </x:c>
      <x:c r="B303" s="8" t="str">
        <x:v>allowed_actions</x:v>
      </x:c>
      <x:c r="C303" s="8" t="str">
        <x:v>jsonb</x:v>
      </x:c>
      <x:c r="D303" s="8" t="str">
        <x:v>Required</x:v>
      </x:c>
      <x:c r="E303" s="8" t="str">
        <x:v>Offline permitted action catalogue; remote disclosure remains separately checked. Type: array</x:v>
      </x:c>
      <x:c r="F303" s="8" t="str">
        <x:v>Sensitive</x:v>
      </x:c>
      <x:c r="G303" s="8" t="str">
        <x:v>Authorised actor or verified source</x:v>
      </x:c>
      <x:c r="H303" s="8" t="str">
        <x:v>Retain original source and revision</x:v>
      </x:c>
      <x:c r="I303" s="8" t="str">
        <x:v>By approved record class policy</x:v>
      </x:c>
    </x:row>
    <x:row r="304" ht="35.25" customHeight="1">
      <x:c r="A304" s="7" t="str">
        <x:v>OfflineLease</x:v>
      </x:c>
      <x:c r="B304" s="7" t="str">
        <x:v>policy_version</x:v>
      </x:c>
      <x:c r="C304" s="7" t="str">
        <x:v>text</x:v>
      </x:c>
      <x:c r="D304" s="7" t="str">
        <x:v>Required</x:v>
      </x:c>
      <x:c r="E304" s="7" t="str">
        <x:v>Policy version used for evaluation, with current revalidation at execution. Type: string</x:v>
      </x:c>
      <x:c r="F304" s="7" t="str">
        <x:v>Sensitive</x:v>
      </x:c>
      <x:c r="G304" s="7" t="str">
        <x:v>Authorised actor or verified source</x:v>
      </x:c>
      <x:c r="H304" s="7" t="str">
        <x:v>Retain original source and revision</x:v>
      </x:c>
      <x:c r="I304" s="7" t="str">
        <x:v>By approved record class policy</x:v>
      </x:c>
    </x:row>
    <x:row r="305" ht="35.25" customHeight="1">
      <x:c r="A305" s="8" t="str">
        <x:v>OfflineLease</x:v>
      </x:c>
      <x:c r="B305" s="8" t="str">
        <x:v>issued_at</x:v>
      </x:c>
      <x:c r="C305" s="8" t="str">
        <x:v>timestamptz</x:v>
      </x:c>
      <x:c r="D305" s="8" t="str">
        <x:v>Required</x:v>
      </x:c>
      <x:c r="E305" s="8" t="str">
        <x:v>Trusted time at which the entitlement was issued. Format: date-time</x:v>
      </x:c>
      <x:c r="F305" s="8" t="str">
        <x:v>Sensitive</x:v>
      </x:c>
      <x:c r="G305" s="8" t="str">
        <x:v>Authorised actor or verified source</x:v>
      </x:c>
      <x:c r="H305" s="8" t="str">
        <x:v>Retain original source and revision</x:v>
      </x:c>
      <x:c r="I305" s="8" t="str">
        <x:v>By approved record class policy</x:v>
      </x:c>
    </x:row>
    <x:row r="306" ht="35.25" customHeight="1">
      <x:c r="A306" s="7" t="str">
        <x:v>OfflineLease</x:v>
      </x:c>
      <x:c r="B306" s="7" t="str">
        <x:v>expires_at</x:v>
      </x:c>
      <x:c r="C306" s="7" t="str">
        <x:v>timestamptz</x:v>
      </x:c>
      <x:c r="D306" s="7" t="str">
        <x:v>Required</x:v>
      </x:c>
      <x:c r="E306" s="7" t="str">
        <x:v>Authority, grant or ticket expiry evaluated against trusted server time. Format: date-time</x:v>
      </x:c>
      <x:c r="F306" s="7" t="str">
        <x:v>Sensitive</x:v>
      </x:c>
      <x:c r="G306" s="7" t="str">
        <x:v>Authorised actor or verified source</x:v>
      </x:c>
      <x:c r="H306" s="7" t="str">
        <x:v>Retain original source and revision</x:v>
      </x:c>
      <x:c r="I306" s="7" t="str">
        <x:v>By approved record class policy</x:v>
      </x:c>
    </x:row>
    <x:row r="307" ht="35.25" customHeight="1">
      <x:c r="A307" s="8" t="str">
        <x:v>OfflineLease</x:v>
      </x:c>
      <x:c r="B307" s="8" t="str">
        <x:v>server_time_anchor</x:v>
      </x:c>
      <x:c r="C307" s="8" t="str">
        <x:v>timestamptz</x:v>
      </x:c>
      <x:c r="D307" s="8" t="str">
        <x:v>Required</x:v>
      </x:c>
      <x:c r="E307" s="8" t="str">
        <x:v>Server time used with trusted elapsed time to detect clock rollback. Format: date-time</x:v>
      </x:c>
      <x:c r="F307" s="8" t="str">
        <x:v>Sensitive</x:v>
      </x:c>
      <x:c r="G307" s="8" t="str">
        <x:v>Authorised actor or verified source</x:v>
      </x:c>
      <x:c r="H307" s="8" t="str">
        <x:v>Retain original source and revision</x:v>
      </x:c>
      <x:c r="I307" s="8" t="str">
        <x:v>By approved record class policy</x:v>
      </x:c>
    </x:row>
    <x:row r="308" ht="35.25" customHeight="1">
      <x:c r="A308" s="7" t="str">
        <x:v>OfflineLease</x:v>
      </x:c>
      <x:c r="B308" s="7" t="str">
        <x:v>signature_ref</x:v>
      </x:c>
      <x:c r="C308" s="7" t="str">
        <x:v>text</x:v>
      </x:c>
      <x:c r="D308" s="7" t="str">
        <x:v>Required</x:v>
      </x:c>
      <x:c r="E308" s="7" t="str">
        <x:v>Reference to verifiable server signature and key version. Type: string</x:v>
      </x:c>
      <x:c r="F308" s="7" t="str">
        <x:v>Sensitive</x:v>
      </x:c>
      <x:c r="G308" s="7" t="str">
        <x:v>Authorised actor or verified source</x:v>
      </x:c>
      <x:c r="H308" s="7" t="str">
        <x:v>Retain original source and revision</x:v>
      </x:c>
      <x:c r="I308" s="7" t="str">
        <x:v>By approved record class policy</x:v>
      </x:c>
    </x:row>
    <x:row r="309" ht="30" customHeight="1">
      <x:c r="A309" s="8" t="str">
        <x:v>OfflineLease</x:v>
      </x:c>
      <x:c r="B309" s="8" t="str">
        <x:v>state</x:v>
      </x:c>
      <x:c r="C309" s="8" t="str">
        <x:v>text</x:v>
      </x:c>
      <x:c r="D309" s="8" t="str">
        <x:v>Required</x:v>
      </x:c>
      <x:c r="E309" s="8" t="str">
        <x:v>Allowed values: active, revoked, expired</x:v>
      </x:c>
      <x:c r="F309" s="8" t="str">
        <x:v>Sensitive</x:v>
      </x:c>
      <x:c r="G309" s="8" t="str">
        <x:v>Authorised actor or verified source</x:v>
      </x:c>
      <x:c r="H309" s="8" t="str">
        <x:v>Retain original source and revision</x:v>
      </x:c>
      <x:c r="I309" s="8" t="str">
        <x:v>By approved record class policy</x:v>
      </x:c>
    </x:row>
    <x:row r="310" ht="35.25" customHeight="1">
      <x:c r="A310" s="7" t="str">
        <x:v>MediaAsset</x:v>
      </x:c>
      <x:c r="B310" s="7" t="str">
        <x:v>id</x:v>
      </x:c>
      <x:c r="C310" s="7" t="str">
        <x:v>uuid</x:v>
      </x:c>
      <x:c r="D310" s="7" t="str">
        <x:v>Required</x:v>
      </x:c>
      <x:c r="E310" s="7" t="str">
        <x:v>Stable platform resource identifier, independent of external patient identifiers. Format: uuid</x:v>
      </x:c>
      <x:c r="F310" s="7" t="str">
        <x:v>Sensitive</x:v>
      </x:c>
      <x:c r="G310" s="7" t="str">
        <x:v>Server generated</x:v>
      </x:c>
      <x:c r="H310" s="7" t="str">
        <x:v>Retain original source and revision</x:v>
      </x:c>
      <x:c r="I310" s="7" t="str">
        <x:v>By approved record class policy</x:v>
      </x:c>
    </x:row>
    <x:row r="311" ht="35.25" customHeight="1">
      <x:c r="A311" s="8" t="str">
        <x:v>MediaAsset</x:v>
      </x:c>
      <x:c r="B311" s="8" t="str">
        <x:v>tenant_id</x:v>
      </x:c>
      <x:c r="C311" s="8" t="str">
        <x:v>uuid</x:v>
      </x:c>
      <x:c r="D311" s="8" t="str">
        <x:v>Required</x:v>
      </x:c>
      <x:c r="E311" s="8" t="str">
        <x:v>Owning deployment boundary derived from verified server context. Format: uuid</x:v>
      </x:c>
      <x:c r="F311" s="8" t="str">
        <x:v>Sensitive</x:v>
      </x:c>
      <x:c r="G311" s="8" t="str">
        <x:v>Server generated</x:v>
      </x:c>
      <x:c r="H311" s="8" t="str">
        <x:v>Retain original source and revision</x:v>
      </x:c>
      <x:c r="I311" s="8" t="str">
        <x:v>By approved record class policy</x:v>
      </x:c>
    </x:row>
    <x:row r="312" ht="35.25" customHeight="1">
      <x:c r="A312" s="7" t="str">
        <x:v>MediaAsset</x:v>
      </x:c>
      <x:c r="B312" s="7" t="str">
        <x:v>version</x:v>
      </x:c>
      <x:c r="C312" s="7" t="str">
        <x:v>bigint</x:v>
      </x:c>
      <x:c r="D312" s="7" t="str">
        <x:v>Required</x:v>
      </x:c>
      <x:c r="E312" s="7" t="str">
        <x:v>Monotonically increasing resource version used for concurrency and revision binding. Type: integer</x:v>
      </x:c>
      <x:c r="F312" s="7" t="str">
        <x:v>Sensitive</x:v>
      </x:c>
      <x:c r="G312" s="7" t="str">
        <x:v>Server generated</x:v>
      </x:c>
      <x:c r="H312" s="7" t="str">
        <x:v>Retain original source and revision</x:v>
      </x:c>
      <x:c r="I312" s="7" t="str">
        <x:v>By approved record class policy</x:v>
      </x:c>
    </x:row>
    <x:row r="313" ht="47.25" customHeight="1">
      <x:c r="A313" s="8" t="str">
        <x:v>MediaAsset</x:v>
      </x:c>
      <x:c r="B313" s="8" t="str">
        <x:v>environment</x:v>
      </x:c>
      <x:c r="C313" s="8" t="str">
        <x:v>text</x:v>
      </x:c>
      <x:c r="D313" s="8" t="str">
        <x:v>Required</x:v>
      </x:c>
      <x:c r="E313" s="8" t="str">
        <x:v>Synthetic, test or production origin; environments must not exchange live credentials. Allowed values: synthetic, test, production</x:v>
      </x:c>
      <x:c r="F313" s="8" t="str">
        <x:v>Sensitive</x:v>
      </x:c>
      <x:c r="G313" s="8" t="str">
        <x:v>Server generated</x:v>
      </x:c>
      <x:c r="H313" s="8" t="str">
        <x:v>Retain original source and revision</x:v>
      </x:c>
      <x:c r="I313" s="8" t="str">
        <x:v>By approved record class policy</x:v>
      </x:c>
    </x:row>
    <x:row r="314" ht="35.25" customHeight="1">
      <x:c r="A314" s="7" t="str">
        <x:v>MediaAsset</x:v>
      </x:c>
      <x:c r="B314" s="7" t="str">
        <x:v>created_at</x:v>
      </x:c>
      <x:c r="C314" s="7" t="str">
        <x:v>timestamptz</x:v>
      </x:c>
      <x:c r="D314" s="7" t="str">
        <x:v>Required</x:v>
      </x:c>
      <x:c r="E314" s="7" t="str">
        <x:v>Server timestamp at original resource creation. Format: date-time</x:v>
      </x:c>
      <x:c r="F314" s="7" t="str">
        <x:v>Sensitive</x:v>
      </x:c>
      <x:c r="G314" s="7" t="str">
        <x:v>Server generated</x:v>
      </x:c>
      <x:c r="H314" s="7" t="str">
        <x:v>Retain original source and revision</x:v>
      </x:c>
      <x:c r="I314" s="7" t="str">
        <x:v>By approved record class policy</x:v>
      </x:c>
    </x:row>
    <x:row r="315" ht="35.25" customHeight="1">
      <x:c r="A315" s="8" t="str">
        <x:v>MediaAsset</x:v>
      </x:c>
      <x:c r="B315" s="8" t="str">
        <x:v>updated_at</x:v>
      </x:c>
      <x:c r="C315" s="8" t="str">
        <x:v>timestamptz</x:v>
      </x:c>
      <x:c r="D315" s="8" t="str">
        <x:v>Required</x:v>
      </x:c>
      <x:c r="E315" s="8" t="str">
        <x:v>Server timestamp at the latest current-pointer or lifecycle change. Format: date-time</x:v>
      </x:c>
      <x:c r="F315" s="8" t="str">
        <x:v>Sensitive</x:v>
      </x:c>
      <x:c r="G315" s="8" t="str">
        <x:v>Server generated</x:v>
      </x:c>
      <x:c r="H315" s="8" t="str">
        <x:v>Retain original source and revision</x:v>
      </x:c>
      <x:c r="I315" s="8" t="str">
        <x:v>By approved record class policy</x:v>
      </x:c>
    </x:row>
    <x:row r="316" ht="35.25" customHeight="1">
      <x:c r="A316" s="7" t="str">
        <x:v>MediaAsset</x:v>
      </x:c>
      <x:c r="B316" s="7" t="str">
        <x:v>person_id</x:v>
      </x:c>
      <x:c r="C316" s="7" t="str">
        <x:v>uuid</x:v>
      </x:c>
      <x:c r="D316" s="7" t="str">
        <x:v>Required</x:v>
      </x:c>
      <x:c r="E316" s="7" t="str">
        <x:v>Subject person reference; must agree with the encounter and action context. Format: uuid</x:v>
      </x:c>
      <x:c r="F316" s="7" t="str">
        <x:v>Sensitive</x:v>
      </x:c>
      <x:c r="G316" s="7" t="str">
        <x:v>Authorised actor or verified source</x:v>
      </x:c>
      <x:c r="H316" s="7" t="str">
        <x:v>Retain original source and revision</x:v>
      </x:c>
      <x:c r="I316" s="7" t="str">
        <x:v>By approved record class policy</x:v>
      </x:c>
    </x:row>
    <x:row r="317" ht="35.25" customHeight="1">
      <x:c r="A317" s="8" t="str">
        <x:v>MediaAsset</x:v>
      </x:c>
      <x:c r="B317" s="8" t="str">
        <x:v>encounter_id</x:v>
      </x:c>
      <x:c r="C317" s="8" t="str">
        <x:v>uuid</x:v>
      </x:c>
      <x:c r="D317" s="8" t="str">
        <x:v>Required</x:v>
      </x:c>
      <x:c r="E317" s="8" t="str">
        <x:v>Single-person encounter to which this resource belongs. Format: uuid</x:v>
      </x:c>
      <x:c r="F317" s="8" t="str">
        <x:v>Sensitive</x:v>
      </x:c>
      <x:c r="G317" s="8" t="str">
        <x:v>Authorised actor or verified source</x:v>
      </x:c>
      <x:c r="H317" s="8" t="str">
        <x:v>Retain original source and revision</x:v>
      </x:c>
      <x:c r="I317" s="8" t="str">
        <x:v>By approved record class policy</x:v>
      </x:c>
    </x:row>
    <x:row r="318" ht="35.25" customHeight="1">
      <x:c r="A318" s="7" t="str">
        <x:v>MediaAsset</x:v>
      </x:c>
      <x:c r="B318" s="7" t="str">
        <x:v>content_type</x:v>
      </x:c>
      <x:c r="C318" s="7" t="str">
        <x:v>text</x:v>
      </x:c>
      <x:c r="D318" s="7" t="str">
        <x:v>Required</x:v>
      </x:c>
      <x:c r="E318" s="7" t="str">
        <x:v>Allowed values: audio/wav, audio/webm, image/jpeg, image/png, application/pdf</x:v>
      </x:c>
      <x:c r="F318" s="7" t="str">
        <x:v>Sensitive</x:v>
      </x:c>
      <x:c r="G318" s="7" t="str">
        <x:v>Authorised actor or verified source</x:v>
      </x:c>
      <x:c r="H318" s="7" t="str">
        <x:v>Retain original source and revision</x:v>
      </x:c>
      <x:c r="I318" s="7" t="str">
        <x:v>By approved record class policy</x:v>
      </x:c>
    </x:row>
    <x:row r="319" ht="35.25" customHeight="1">
      <x:c r="A319" s="8" t="str">
        <x:v>MediaAsset</x:v>
      </x:c>
      <x:c r="B319" s="8" t="str">
        <x:v>byte_size</x:v>
      </x:c>
      <x:c r="C319" s="8" t="str">
        <x:v>bigint</x:v>
      </x:c>
      <x:c r="D319" s="8" t="str">
        <x:v>Required</x:v>
      </x:c>
      <x:c r="E319" s="8" t="str">
        <x:v>Verified object byte count used for upload and storage limits. Type: integer</x:v>
      </x:c>
      <x:c r="F319" s="8" t="str">
        <x:v>Sensitive</x:v>
      </x:c>
      <x:c r="G319" s="8" t="str">
        <x:v>Authorised actor or verified source</x:v>
      </x:c>
      <x:c r="H319" s="8" t="str">
        <x:v>Retain original source and revision</x:v>
      </x:c>
      <x:c r="I319" s="8" t="str">
        <x:v>By approved record class policy</x:v>
      </x:c>
    </x:row>
    <x:row r="320" ht="30" customHeight="1">
      <x:c r="A320" s="7" t="str">
        <x:v>MediaAsset</x:v>
      </x:c>
      <x:c r="B320" s="7" t="str">
        <x:v>sha256</x:v>
      </x:c>
      <x:c r="C320" s="7" t="str">
        <x:v>text</x:v>
      </x:c>
      <x:c r="D320" s="7" t="str">
        <x:v>Required</x:v>
      </x:c>
      <x:c r="E320" s="7" t="str">
        <x:v>SHA-256 digest of completed object bytes. Type: string</x:v>
      </x:c>
      <x:c r="F320" s="7" t="str">
        <x:v>Sensitive</x:v>
      </x:c>
      <x:c r="G320" s="7" t="str">
        <x:v>Authorised actor or verified source</x:v>
      </x:c>
      <x:c r="H320" s="7" t="str">
        <x:v>Retain original source and revision</x:v>
      </x:c>
      <x:c r="I320" s="7" t="str">
        <x:v>By approved record class policy</x:v>
      </x:c>
    </x:row>
    <x:row r="321" ht="35.25" customHeight="1">
      <x:c r="A321" s="8" t="str">
        <x:v>MediaAsset</x:v>
      </x:c>
      <x:c r="B321" s="8" t="str">
        <x:v>object_ref</x:v>
      </x:c>
      <x:c r="C321" s="8" t="str">
        <x:v>text</x:v>
      </x:c>
      <x:c r="D321" s="8" t="str">
        <x:v>Required</x:v>
      </x:c>
      <x:c r="E321" s="8" t="str">
        <x:v>Opaque protected object-store reference; never a durable public URL. Type: string</x:v>
      </x:c>
      <x:c r="F321" s="8" t="str">
        <x:v>Sensitive</x:v>
      </x:c>
      <x:c r="G321" s="8" t="str">
        <x:v>Authorised actor or verified source</x:v>
      </x:c>
      <x:c r="H321" s="8" t="str">
        <x:v>Retain original source and revision</x:v>
      </x:c>
      <x:c r="I321" s="8" t="str">
        <x:v>By approved record class policy</x:v>
      </x:c>
    </x:row>
    <x:row r="322" ht="35.25" customHeight="1">
      <x:c r="A322" s="7" t="str">
        <x:v>MediaAsset</x:v>
      </x:c>
      <x:c r="B322" s="7" t="str">
        <x:v>state</x:v>
      </x:c>
      <x:c r="C322" s="7" t="str">
        <x:v>text</x:v>
      </x:c>
      <x:c r="D322" s="7" t="str">
        <x:v>Required</x:v>
      </x:c>
      <x:c r="E322" s="7" t="str">
        <x:v>Allowed values: reserved, uploaded, scanning, quarantined, available, disposed</x:v>
      </x:c>
      <x:c r="F322" s="7" t="str">
        <x:v>Sensitive</x:v>
      </x:c>
      <x:c r="G322" s="7" t="str">
        <x:v>Authorised actor or verified source</x:v>
      </x:c>
      <x:c r="H322" s="7" t="str">
        <x:v>Retain original source and revision</x:v>
      </x:c>
      <x:c r="I322" s="7" t="str">
        <x:v>By approved record class policy</x:v>
      </x:c>
    </x:row>
    <x:row r="323" ht="35.25" customHeight="1">
      <x:c r="A323" s="8" t="str">
        <x:v>MediaAsset</x:v>
      </x:c>
      <x:c r="B323" s="8" t="str">
        <x:v>purpose</x:v>
      </x:c>
      <x:c r="C323" s="8" t="str">
        <x:v>text</x:v>
      </x:c>
      <x:c r="D323" s="8" t="str">
        <x:v>Required</x:v>
      </x:c>
      <x:c r="E323" s="8" t="str">
        <x:v>Specific approved purpose for processing or disclosure. Type: string</x:v>
      </x:c>
      <x:c r="F323" s="8" t="str">
        <x:v>Sensitive</x:v>
      </x:c>
      <x:c r="G323" s="8" t="str">
        <x:v>Authorised actor or verified source</x:v>
      </x:c>
      <x:c r="H323" s="8" t="str">
        <x:v>Retain original source and revision</x:v>
      </x:c>
      <x:c r="I323" s="8" t="str">
        <x:v>By approved record class policy</x:v>
      </x:c>
    </x:row>
    <x:row r="324" ht="35.25" customHeight="1">
      <x:c r="A324" s="7" t="str">
        <x:v>MediaAsset</x:v>
      </x:c>
      <x:c r="B324" s="7" t="str">
        <x:v>authority_id</x:v>
      </x:c>
      <x:c r="C324" s="7" t="str">
        <x:v>uuid</x:v>
      </x:c>
      <x:c r="D324" s="7" t="str">
        <x:v>Required</x:v>
      </x:c>
      <x:c r="E324" s="7" t="str">
        <x:v>Current matching processing authority required for this action. Format: uuid</x:v>
      </x:c>
      <x:c r="F324" s="7" t="str">
        <x:v>Sensitive</x:v>
      </x:c>
      <x:c r="G324" s="7" t="str">
        <x:v>Authorised actor or verified source</x:v>
      </x:c>
      <x:c r="H324" s="7" t="str">
        <x:v>Retain original source and revision</x:v>
      </x:c>
      <x:c r="I324" s="7" t="str">
        <x:v>By approved record class policy</x:v>
      </x:c>
    </x:row>
    <x:row r="325" ht="35.25" customHeight="1">
      <x:c r="A325" s="8" t="str">
        <x:v>MediaAsset</x:v>
      </x:c>
      <x:c r="B325" s="8" t="str">
        <x:v>quality_result_ref</x:v>
      </x:c>
      <x:c r="C325" s="8" t="str">
        <x:v>text</x:v>
      </x:c>
      <x:c r="D325" s="8" t="str">
        <x:v>Optional</x:v>
      </x:c>
      <x:c r="E325" s="8" t="str">
        <x:v>Input quality assessment used for eligibility. Type: string</x:v>
      </x:c>
      <x:c r="F325" s="8" t="str">
        <x:v>Sensitive</x:v>
      </x:c>
      <x:c r="G325" s="8" t="str">
        <x:v>Authorised actor or verified source</x:v>
      </x:c>
      <x:c r="H325" s="8" t="str">
        <x:v>Retain original source and revision</x:v>
      </x:c>
      <x:c r="I325" s="8" t="str">
        <x:v>By approved record class policy</x:v>
      </x:c>
    </x:row>
    <x:row r="326" ht="35.25" customHeight="1">
      <x:c r="A326" s="7" t="str">
        <x:v>AuditEvent</x:v>
      </x:c>
      <x:c r="B326" s="7" t="str">
        <x:v>id</x:v>
      </x:c>
      <x:c r="C326" s="7" t="str">
        <x:v>uuid</x:v>
      </x:c>
      <x:c r="D326" s="7" t="str">
        <x:v>Required</x:v>
      </x:c>
      <x:c r="E326" s="7" t="str">
        <x:v>Stable platform resource identifier, independent of external patient identifiers. Format: uuid</x:v>
      </x:c>
      <x:c r="F326" s="7" t="str">
        <x:v>Sensitive</x:v>
      </x:c>
      <x:c r="G326" s="7" t="str">
        <x:v>Server generated</x:v>
      </x:c>
      <x:c r="H326" s="7" t="str">
        <x:v>Retain original source and revision</x:v>
      </x:c>
      <x:c r="I326" s="7" t="str">
        <x:v>By approved record class policy</x:v>
      </x:c>
    </x:row>
    <x:row r="327" ht="35.25" customHeight="1">
      <x:c r="A327" s="8" t="str">
        <x:v>AuditEvent</x:v>
      </x:c>
      <x:c r="B327" s="8" t="str">
        <x:v>tenant_id</x:v>
      </x:c>
      <x:c r="C327" s="8" t="str">
        <x:v>uuid</x:v>
      </x:c>
      <x:c r="D327" s="8" t="str">
        <x:v>Required</x:v>
      </x:c>
      <x:c r="E327" s="8" t="str">
        <x:v>Owning deployment boundary derived from verified server context. Format: uuid</x:v>
      </x:c>
      <x:c r="F327" s="8" t="str">
        <x:v>Sensitive</x:v>
      </x:c>
      <x:c r="G327" s="8" t="str">
        <x:v>Server generated</x:v>
      </x:c>
      <x:c r="H327" s="8" t="str">
        <x:v>Retain original source and revision</x:v>
      </x:c>
      <x:c r="I327" s="8" t="str">
        <x:v>By approved record class policy</x:v>
      </x:c>
    </x:row>
    <x:row r="328" ht="35.25" customHeight="1">
      <x:c r="A328" s="7" t="str">
        <x:v>AuditEvent</x:v>
      </x:c>
      <x:c r="B328" s="7" t="str">
        <x:v>version</x:v>
      </x:c>
      <x:c r="C328" s="7" t="str">
        <x:v>bigint</x:v>
      </x:c>
      <x:c r="D328" s="7" t="str">
        <x:v>Required</x:v>
      </x:c>
      <x:c r="E328" s="7" t="str">
        <x:v>Monotonically increasing resource version used for concurrency and revision binding. Type: integer</x:v>
      </x:c>
      <x:c r="F328" s="7" t="str">
        <x:v>Sensitive</x:v>
      </x:c>
      <x:c r="G328" s="7" t="str">
        <x:v>Server generated</x:v>
      </x:c>
      <x:c r="H328" s="7" t="str">
        <x:v>Retain original source and revision</x:v>
      </x:c>
      <x:c r="I328" s="7" t="str">
        <x:v>By approved record class policy</x:v>
      </x:c>
    </x:row>
    <x:row r="329" ht="47.25" customHeight="1">
      <x:c r="A329" s="8" t="str">
        <x:v>AuditEvent</x:v>
      </x:c>
      <x:c r="B329" s="8" t="str">
        <x:v>environment</x:v>
      </x:c>
      <x:c r="C329" s="8" t="str">
        <x:v>text</x:v>
      </x:c>
      <x:c r="D329" s="8" t="str">
        <x:v>Required</x:v>
      </x:c>
      <x:c r="E329" s="8" t="str">
        <x:v>Synthetic, test or production origin; environments must not exchange live credentials. Allowed values: synthetic, test, production</x:v>
      </x:c>
      <x:c r="F329" s="8" t="str">
        <x:v>Sensitive</x:v>
      </x:c>
      <x:c r="G329" s="8" t="str">
        <x:v>Server generated</x:v>
      </x:c>
      <x:c r="H329" s="8" t="str">
        <x:v>Retain original source and revision</x:v>
      </x:c>
      <x:c r="I329" s="8" t="str">
        <x:v>By approved record class policy</x:v>
      </x:c>
    </x:row>
    <x:row r="330" ht="35.25" customHeight="1">
      <x:c r="A330" s="7" t="str">
        <x:v>AuditEvent</x:v>
      </x:c>
      <x:c r="B330" s="7" t="str">
        <x:v>created_at</x:v>
      </x:c>
      <x:c r="C330" s="7" t="str">
        <x:v>timestamptz</x:v>
      </x:c>
      <x:c r="D330" s="7" t="str">
        <x:v>Required</x:v>
      </x:c>
      <x:c r="E330" s="7" t="str">
        <x:v>Server timestamp at original resource creation. Format: date-time</x:v>
      </x:c>
      <x:c r="F330" s="7" t="str">
        <x:v>Sensitive</x:v>
      </x:c>
      <x:c r="G330" s="7" t="str">
        <x:v>Server generated</x:v>
      </x:c>
      <x:c r="H330" s="7" t="str">
        <x:v>Retain original source and revision</x:v>
      </x:c>
      <x:c r="I330" s="7" t="str">
        <x:v>By approved record class policy</x:v>
      </x:c>
    </x:row>
    <x:row r="331" ht="35.25" customHeight="1">
      <x:c r="A331" s="8" t="str">
        <x:v>AuditEvent</x:v>
      </x:c>
      <x:c r="B331" s="8" t="str">
        <x:v>updated_at</x:v>
      </x:c>
      <x:c r="C331" s="8" t="str">
        <x:v>timestamptz</x:v>
      </x:c>
      <x:c r="D331" s="8" t="str">
        <x:v>Required</x:v>
      </x:c>
      <x:c r="E331" s="8" t="str">
        <x:v>Server timestamp at the latest current-pointer or lifecycle change. Format: date-time</x:v>
      </x:c>
      <x:c r="F331" s="8" t="str">
        <x:v>Sensitive</x:v>
      </x:c>
      <x:c r="G331" s="8" t="str">
        <x:v>Server generated</x:v>
      </x:c>
      <x:c r="H331" s="8" t="str">
        <x:v>Retain original source and revision</x:v>
      </x:c>
      <x:c r="I331" s="8" t="str">
        <x:v>By approved record class policy</x:v>
      </x:c>
    </x:row>
    <x:row r="332" ht="35.25" customHeight="1">
      <x:c r="A332" s="7" t="str">
        <x:v>AuditEvent</x:v>
      </x:c>
      <x:c r="B332" s="7" t="str">
        <x:v>actor_id</x:v>
      </x:c>
      <x:c r="C332" s="7" t="str">
        <x:v>uuid</x:v>
      </x:c>
      <x:c r="D332" s="7" t="str">
        <x:v>Required</x:v>
      </x:c>
      <x:c r="E332" s="7" t="str">
        <x:v>Verified principal or service responsible for an audited action. Format: uuid</x:v>
      </x:c>
      <x:c r="F332" s="7" t="str">
        <x:v>Sensitive</x:v>
      </x:c>
      <x:c r="G332" s="7" t="str">
        <x:v>Authorised actor or verified source</x:v>
      </x:c>
      <x:c r="H332" s="7" t="str">
        <x:v>Retain original source and revision</x:v>
      </x:c>
      <x:c r="I332" s="7" t="str">
        <x:v>By approved record class policy</x:v>
      </x:c>
    </x:row>
    <x:row r="333" ht="35.25" customHeight="1">
      <x:c r="A333" s="8" t="str">
        <x:v>AuditEvent</x:v>
      </x:c>
      <x:c r="B333" s="8" t="str">
        <x:v>action</x:v>
      </x:c>
      <x:c r="C333" s="8" t="str">
        <x:v>text</x:v>
      </x:c>
      <x:c r="D333" s="8" t="str">
        <x:v>Required</x:v>
      </x:c>
      <x:c r="E333" s="8" t="str">
        <x:v>Governed operation name recorded in the audit trail. Type: string</x:v>
      </x:c>
      <x:c r="F333" s="8" t="str">
        <x:v>Sensitive</x:v>
      </x:c>
      <x:c r="G333" s="8" t="str">
        <x:v>Authorised actor or verified source</x:v>
      </x:c>
      <x:c r="H333" s="8" t="str">
        <x:v>Retain original source and revision</x:v>
      </x:c>
      <x:c r="I333" s="8" t="str">
        <x:v>By approved record class policy</x:v>
      </x:c>
    </x:row>
    <x:row r="334" ht="35.25" customHeight="1">
      <x:c r="A334" s="7" t="str">
        <x:v>AuditEvent</x:v>
      </x:c>
      <x:c r="B334" s="7" t="str">
        <x:v>resource_type</x:v>
      </x:c>
      <x:c r="C334" s="7" t="str">
        <x:v>text</x:v>
      </x:c>
      <x:c r="D334" s="7" t="str">
        <x:v>Required</x:v>
      </x:c>
      <x:c r="E334" s="7" t="str">
        <x:v>Named canonical type of the referenced subject resource. Type: string</x:v>
      </x:c>
      <x:c r="F334" s="7" t="str">
        <x:v>Sensitive</x:v>
      </x:c>
      <x:c r="G334" s="7" t="str">
        <x:v>Authorised actor or verified source</x:v>
      </x:c>
      <x:c r="H334" s="7" t="str">
        <x:v>Retain original source and revision</x:v>
      </x:c>
      <x:c r="I334" s="7" t="str">
        <x:v>By approved record class policy</x:v>
      </x:c>
    </x:row>
    <x:row r="335" ht="35.25" customHeight="1">
      <x:c r="A335" s="8" t="str">
        <x:v>AuditEvent</x:v>
      </x:c>
      <x:c r="B335" s="8" t="str">
        <x:v>resource_id</x:v>
      </x:c>
      <x:c r="C335" s="8" t="str">
        <x:v>uuid</x:v>
      </x:c>
      <x:c r="D335" s="8" t="str">
        <x:v>Required</x:v>
      </x:c>
      <x:c r="E335" s="8" t="str">
        <x:v>Resource identifier resolved within the owning tenant. Format: uuid</x:v>
      </x:c>
      <x:c r="F335" s="8" t="str">
        <x:v>Sensitive</x:v>
      </x:c>
      <x:c r="G335" s="8" t="str">
        <x:v>Authorised actor or verified source</x:v>
      </x:c>
      <x:c r="H335" s="8" t="str">
        <x:v>Retain original source and revision</x:v>
      </x:c>
      <x:c r="I335" s="8" t="str">
        <x:v>By approved record class policy</x:v>
      </x:c>
    </x:row>
    <x:row r="336" ht="35.25" customHeight="1">
      <x:c r="A336" s="7" t="str">
        <x:v>AuditEvent</x:v>
      </x:c>
      <x:c r="B336" s="7" t="str">
        <x:v>purpose</x:v>
      </x:c>
      <x:c r="C336" s="7" t="str">
        <x:v>text</x:v>
      </x:c>
      <x:c r="D336" s="7" t="str">
        <x:v>Required</x:v>
      </x:c>
      <x:c r="E336" s="7" t="str">
        <x:v>Specific approved purpose for processing or disclosure. Type: string</x:v>
      </x:c>
      <x:c r="F336" s="7" t="str">
        <x:v>Sensitive</x:v>
      </x:c>
      <x:c r="G336" s="7" t="str">
        <x:v>Authorised actor or verified source</x:v>
      </x:c>
      <x:c r="H336" s="7" t="str">
        <x:v>Retain original source and revision</x:v>
      </x:c>
      <x:c r="I336" s="7" t="str">
        <x:v>By approved record class policy</x:v>
      </x:c>
    </x:row>
    <x:row r="337" ht="35.25" customHeight="1">
      <x:c r="A337" s="8" t="str">
        <x:v>AuditEvent</x:v>
      </x:c>
      <x:c r="B337" s="8" t="str">
        <x:v>policy_decision_id</x:v>
      </x:c>
      <x:c r="C337" s="8" t="str">
        <x:v>text</x:v>
      </x:c>
      <x:c r="D337" s="8" t="str">
        <x:v>Required</x:v>
      </x:c>
      <x:c r="E337" s="8" t="str">
        <x:v>Reference to the exact authorisation evaluation. Type: string</x:v>
      </x:c>
      <x:c r="F337" s="8" t="str">
        <x:v>Sensitive</x:v>
      </x:c>
      <x:c r="G337" s="8" t="str">
        <x:v>Authorised actor or verified source</x:v>
      </x:c>
      <x:c r="H337" s="8" t="str">
        <x:v>Retain original source and revision</x:v>
      </x:c>
      <x:c r="I337" s="8" t="str">
        <x:v>By approved record class policy</x:v>
      </x:c>
    </x:row>
    <x:row r="338" ht="30" customHeight="1">
      <x:c r="A338" s="7" t="str">
        <x:v>AuditEvent</x:v>
      </x:c>
      <x:c r="B338" s="7" t="str">
        <x:v>outcome</x:v>
      </x:c>
      <x:c r="C338" s="7" t="str">
        <x:v>text</x:v>
      </x:c>
      <x:c r="D338" s="7" t="str">
        <x:v>Required</x:v>
      </x:c>
      <x:c r="E338" s="7" t="str">
        <x:v>Allowed values: allowed, denied, failed</x:v>
      </x:c>
      <x:c r="F338" s="7" t="str">
        <x:v>Sensitive</x:v>
      </x:c>
      <x:c r="G338" s="7" t="str">
        <x:v>Authorised actor or verified source</x:v>
      </x:c>
      <x:c r="H338" s="7" t="str">
        <x:v>Retain original source and revision</x:v>
      </x:c>
      <x:c r="I338" s="7" t="str">
        <x:v>By approved record class policy</x:v>
      </x:c>
    </x:row>
    <x:row r="339" ht="35.25" customHeight="1">
      <x:c r="A339" s="8" t="str">
        <x:v>AuditEvent</x:v>
      </x:c>
      <x:c r="B339" s="8" t="str">
        <x:v>correlation_id</x:v>
      </x:c>
      <x:c r="C339" s="8" t="str">
        <x:v>uuid</x:v>
      </x:c>
      <x:c r="D339" s="8" t="str">
        <x:v>Required</x:v>
      </x:c>
      <x:c r="E339" s="8" t="str">
        <x:v>Safe trace identifier linking one request across components. Format: uuid</x:v>
      </x:c>
      <x:c r="F339" s="8" t="str">
        <x:v>Sensitive</x:v>
      </x:c>
      <x:c r="G339" s="8" t="str">
        <x:v>Authorised actor or verified source</x:v>
      </x:c>
      <x:c r="H339" s="8" t="str">
        <x:v>Retain original source and revision</x:v>
      </x:c>
      <x:c r="I339" s="8" t="str">
        <x:v>By approved record class policy</x:v>
      </x:c>
    </x:row>
    <x:row r="340" ht="30" customHeight="1">
      <x:c r="A340" s="7" t="str">
        <x:v>AuditEvent</x:v>
      </x:c>
      <x:c r="B340" s="7" t="str">
        <x:v>occurred_at</x:v>
      </x:c>
      <x:c r="C340" s="7" t="str">
        <x:v>timestamptz</x:v>
      </x:c>
      <x:c r="D340" s="7" t="str">
        <x:v>Required</x:v>
      </x:c>
      <x:c r="E340" s="7" t="str">
        <x:v>Trusted event occurrence time. Format: date-time</x:v>
      </x:c>
      <x:c r="F340" s="7" t="str">
        <x:v>Sensitive</x:v>
      </x:c>
      <x:c r="G340" s="7" t="str">
        <x:v>Authorised actor or verified source</x:v>
      </x:c>
      <x:c r="H340" s="7" t="str">
        <x:v>Retain original source and revision</x:v>
      </x:c>
      <x:c r="I340" s="7" t="str">
        <x:v>By approved record class policy</x:v>
      </x:c>
    </x:row>
    <x:row r="341" ht="35.25" customHeight="1">
      <x:c r="A341" s="8" t="str">
        <x:v>AuditEvent</x:v>
      </x:c>
      <x:c r="B341" s="8" t="str">
        <x:v>evidence_refs</x:v>
      </x:c>
      <x:c r="C341" s="8" t="str">
        <x:v>jsonb</x:v>
      </x:c>
      <x:c r="D341" s="8" t="str">
        <x:v>Required</x:v>
      </x:c>
      <x:c r="E341" s="8" t="str">
        <x:v>Controlled evidence links, without copying clinical payload into events. Type: array</x:v>
      </x:c>
      <x:c r="F341" s="8" t="str">
        <x:v>Sensitive</x:v>
      </x:c>
      <x:c r="G341" s="8" t="str">
        <x:v>Authorised actor or verified source</x:v>
      </x:c>
      <x:c r="H341" s="8" t="str">
        <x:v>Retain original source and revision</x:v>
      </x:c>
      <x:c r="I341" s="8" t="str">
        <x:v>By approved record class policy</x:v>
      </x:c>
    </x:row>
    <x:row r="342" ht="35.25" customHeight="1">
      <x:c r="A342" s="7" t="str">
        <x:v>SafetyCase</x:v>
      </x:c>
      <x:c r="B342" s="7" t="str">
        <x:v>id</x:v>
      </x:c>
      <x:c r="C342" s="7" t="str">
        <x:v>uuid</x:v>
      </x:c>
      <x:c r="D342" s="7" t="str">
        <x:v>Required</x:v>
      </x:c>
      <x:c r="E342" s="7" t="str">
        <x:v>Stable platform resource identifier, independent of external patient identifiers. Format: uuid</x:v>
      </x:c>
      <x:c r="F342" s="7" t="str">
        <x:v>Sensitive</x:v>
      </x:c>
      <x:c r="G342" s="7" t="str">
        <x:v>Server generated</x:v>
      </x:c>
      <x:c r="H342" s="7" t="str">
        <x:v>Retain original source and revision</x:v>
      </x:c>
      <x:c r="I342" s="7" t="str">
        <x:v>By approved record class policy</x:v>
      </x:c>
    </x:row>
    <x:row r="343" ht="35.25" customHeight="1">
      <x:c r="A343" s="8" t="str">
        <x:v>SafetyCase</x:v>
      </x:c>
      <x:c r="B343" s="8" t="str">
        <x:v>tenant_id</x:v>
      </x:c>
      <x:c r="C343" s="8" t="str">
        <x:v>uuid</x:v>
      </x:c>
      <x:c r="D343" s="8" t="str">
        <x:v>Required</x:v>
      </x:c>
      <x:c r="E343" s="8" t="str">
        <x:v>Owning deployment boundary derived from verified server context. Format: uuid</x:v>
      </x:c>
      <x:c r="F343" s="8" t="str">
        <x:v>Sensitive</x:v>
      </x:c>
      <x:c r="G343" s="8" t="str">
        <x:v>Server generated</x:v>
      </x:c>
      <x:c r="H343" s="8" t="str">
        <x:v>Retain original source and revision</x:v>
      </x:c>
      <x:c r="I343" s="8" t="str">
        <x:v>By approved record class policy</x:v>
      </x:c>
    </x:row>
    <x:row r="344" ht="35.25" customHeight="1">
      <x:c r="A344" s="7" t="str">
        <x:v>SafetyCase</x:v>
      </x:c>
      <x:c r="B344" s="7" t="str">
        <x:v>version</x:v>
      </x:c>
      <x:c r="C344" s="7" t="str">
        <x:v>bigint</x:v>
      </x:c>
      <x:c r="D344" s="7" t="str">
        <x:v>Required</x:v>
      </x:c>
      <x:c r="E344" s="7" t="str">
        <x:v>Monotonically increasing resource version used for concurrency and revision binding. Type: integer</x:v>
      </x:c>
      <x:c r="F344" s="7" t="str">
        <x:v>Sensitive</x:v>
      </x:c>
      <x:c r="G344" s="7" t="str">
        <x:v>Server generated</x:v>
      </x:c>
      <x:c r="H344" s="7" t="str">
        <x:v>Retain original source and revision</x:v>
      </x:c>
      <x:c r="I344" s="7" t="str">
        <x:v>By approved record class policy</x:v>
      </x:c>
    </x:row>
    <x:row r="345" ht="47.25" customHeight="1">
      <x:c r="A345" s="8" t="str">
        <x:v>SafetyCase</x:v>
      </x:c>
      <x:c r="B345" s="8" t="str">
        <x:v>environment</x:v>
      </x:c>
      <x:c r="C345" s="8" t="str">
        <x:v>text</x:v>
      </x:c>
      <x:c r="D345" s="8" t="str">
        <x:v>Required</x:v>
      </x:c>
      <x:c r="E345" s="8" t="str">
        <x:v>Synthetic, test or production origin; environments must not exchange live credentials. Allowed values: synthetic, test, production</x:v>
      </x:c>
      <x:c r="F345" s="8" t="str">
        <x:v>Sensitive</x:v>
      </x:c>
      <x:c r="G345" s="8" t="str">
        <x:v>Server generated</x:v>
      </x:c>
      <x:c r="H345" s="8" t="str">
        <x:v>Retain original source and revision</x:v>
      </x:c>
      <x:c r="I345" s="8" t="str">
        <x:v>By approved record class policy</x:v>
      </x:c>
    </x:row>
    <x:row r="346" ht="35.25" customHeight="1">
      <x:c r="A346" s="7" t="str">
        <x:v>SafetyCase</x:v>
      </x:c>
      <x:c r="B346" s="7" t="str">
        <x:v>created_at</x:v>
      </x:c>
      <x:c r="C346" s="7" t="str">
        <x:v>timestamptz</x:v>
      </x:c>
      <x:c r="D346" s="7" t="str">
        <x:v>Required</x:v>
      </x:c>
      <x:c r="E346" s="7" t="str">
        <x:v>Server timestamp at original resource creation. Format: date-time</x:v>
      </x:c>
      <x:c r="F346" s="7" t="str">
        <x:v>Sensitive</x:v>
      </x:c>
      <x:c r="G346" s="7" t="str">
        <x:v>Server generated</x:v>
      </x:c>
      <x:c r="H346" s="7" t="str">
        <x:v>Retain original source and revision</x:v>
      </x:c>
      <x:c r="I346" s="7" t="str">
        <x:v>By approved record class policy</x:v>
      </x:c>
    </x:row>
    <x:row r="347" ht="35.25" customHeight="1">
      <x:c r="A347" s="8" t="str">
        <x:v>SafetyCase</x:v>
      </x:c>
      <x:c r="B347" s="8" t="str">
        <x:v>updated_at</x:v>
      </x:c>
      <x:c r="C347" s="8" t="str">
        <x:v>timestamptz</x:v>
      </x:c>
      <x:c r="D347" s="8" t="str">
        <x:v>Required</x:v>
      </x:c>
      <x:c r="E347" s="8" t="str">
        <x:v>Server timestamp at the latest current-pointer or lifecycle change. Format: date-time</x:v>
      </x:c>
      <x:c r="F347" s="8" t="str">
        <x:v>Sensitive</x:v>
      </x:c>
      <x:c r="G347" s="8" t="str">
        <x:v>Server generated</x:v>
      </x:c>
      <x:c r="H347" s="8" t="str">
        <x:v>Retain original source and revision</x:v>
      </x:c>
      <x:c r="I347" s="8" t="str">
        <x:v>By approved record class policy</x:v>
      </x:c>
    </x:row>
    <x:row r="348" ht="35.25" customHeight="1">
      <x:c r="A348" s="7" t="str">
        <x:v>SafetyCase</x:v>
      </x:c>
      <x:c r="B348" s="7" t="str">
        <x:v>person_id</x:v>
      </x:c>
      <x:c r="C348" s="7" t="str">
        <x:v>uuid</x:v>
      </x:c>
      <x:c r="D348" s="7" t="str">
        <x:v>Optional</x:v>
      </x:c>
      <x:c r="E348" s="7" t="str">
        <x:v>Subject person reference; must agree with the encounter and action context. Format: uuid</x:v>
      </x:c>
      <x:c r="F348" s="7" t="str">
        <x:v>Sensitive</x:v>
      </x:c>
      <x:c r="G348" s="7" t="str">
        <x:v>Authorised actor or verified source</x:v>
      </x:c>
      <x:c r="H348" s="7" t="str">
        <x:v>Retain original source and revision</x:v>
      </x:c>
      <x:c r="I348" s="7" t="str">
        <x:v>By approved record class policy</x:v>
      </x:c>
    </x:row>
    <x:row r="349" ht="35.25" customHeight="1">
      <x:c r="A349" s="8" t="str">
        <x:v>SafetyCase</x:v>
      </x:c>
      <x:c r="B349" s="8" t="str">
        <x:v>encounter_id</x:v>
      </x:c>
      <x:c r="C349" s="8" t="str">
        <x:v>uuid</x:v>
      </x:c>
      <x:c r="D349" s="8" t="str">
        <x:v>Optional</x:v>
      </x:c>
      <x:c r="E349" s="8" t="str">
        <x:v>Single-person encounter to which this resource belongs. Format: uuid</x:v>
      </x:c>
      <x:c r="F349" s="8" t="str">
        <x:v>Sensitive</x:v>
      </x:c>
      <x:c r="G349" s="8" t="str">
        <x:v>Authorised actor or verified source</x:v>
      </x:c>
      <x:c r="H349" s="8" t="str">
        <x:v>Retain original source and revision</x:v>
      </x:c>
      <x:c r="I349" s="8" t="str">
        <x:v>By approved record class policy</x:v>
      </x:c>
    </x:row>
    <x:row r="350" ht="35.25" customHeight="1">
      <x:c r="A350" s="7" t="str">
        <x:v>SafetyCase</x:v>
      </x:c>
      <x:c r="B350" s="7" t="str">
        <x:v>category</x:v>
      </x:c>
      <x:c r="C350" s="7" t="str">
        <x:v>text</x:v>
      </x:c>
      <x:c r="D350" s="7" t="str">
        <x:v>Required</x:v>
      </x:c>
      <x:c r="E350" s="7" t="str">
        <x:v>Allowed values: clinical, wrong_person, privacy, model, system</x:v>
      </x:c>
      <x:c r="F350" s="7" t="str">
        <x:v>Sensitive</x:v>
      </x:c>
      <x:c r="G350" s="7" t="str">
        <x:v>Authorised actor or verified source</x:v>
      </x:c>
      <x:c r="H350" s="7" t="str">
        <x:v>Retain original source and revision</x:v>
      </x:c>
      <x:c r="I350" s="7" t="str">
        <x:v>By approved record class policy</x:v>
      </x:c>
    </x:row>
    <x:row r="351" ht="30" customHeight="1">
      <x:c r="A351" s="8" t="str">
        <x:v>SafetyCase</x:v>
      </x:c>
      <x:c r="B351" s="8" t="str">
        <x:v>severity</x:v>
      </x:c>
      <x:c r="C351" s="8" t="str">
        <x:v>text</x:v>
      </x:c>
      <x:c r="D351" s="8" t="str">
        <x:v>Required</x:v>
      </x:c>
      <x:c r="E351" s="8" t="str">
        <x:v>Allowed values: critical, high, normal</x:v>
      </x:c>
      <x:c r="F351" s="8" t="str">
        <x:v>Sensitive</x:v>
      </x:c>
      <x:c r="G351" s="8" t="str">
        <x:v>Authorised actor or verified source</x:v>
      </x:c>
      <x:c r="H351" s="8" t="str">
        <x:v>Retain original source and revision</x:v>
      </x:c>
      <x:c r="I351" s="8" t="str">
        <x:v>By approved record class policy</x:v>
      </x:c>
    </x:row>
    <x:row r="352" ht="35.25" customHeight="1">
      <x:c r="A352" s="7" t="str">
        <x:v>SafetyCase</x:v>
      </x:c>
      <x:c r="B352" s="7" t="str">
        <x:v>state</x:v>
      </x:c>
      <x:c r="C352" s="7" t="str">
        <x:v>text</x:v>
      </x:c>
      <x:c r="D352" s="7" t="str">
        <x:v>Required</x:v>
      </x:c>
      <x:c r="E352" s="7" t="str">
        <x:v>Allowed values: open, contained, investigating, resolved, closed</x:v>
      </x:c>
      <x:c r="F352" s="7" t="str">
        <x:v>Sensitive</x:v>
      </x:c>
      <x:c r="G352" s="7" t="str">
        <x:v>Authorised actor or verified source</x:v>
      </x:c>
      <x:c r="H352" s="7" t="str">
        <x:v>Retain original source and revision</x:v>
      </x:c>
      <x:c r="I352" s="7" t="str">
        <x:v>By approved record class policy</x:v>
      </x:c>
    </x:row>
    <x:row r="353" ht="35.25" customHeight="1">
      <x:c r="A353" s="8" t="str">
        <x:v>SafetyCase</x:v>
      </x:c>
      <x:c r="B353" s="8" t="str">
        <x:v>summary</x:v>
      </x:c>
      <x:c r="C353" s="8" t="str">
        <x:v>text</x:v>
      </x:c>
      <x:c r="D353" s="8" t="str">
        <x:v>Required</x:v>
      </x:c>
      <x:c r="E353" s="8" t="str">
        <x:v>Minimum necessary case description; avoid unrestricted clinical narrative. Type: string</x:v>
      </x:c>
      <x:c r="F353" s="8" t="str">
        <x:v>Sensitive</x:v>
      </x:c>
      <x:c r="G353" s="8" t="str">
        <x:v>Authorised actor or verified source</x:v>
      </x:c>
      <x:c r="H353" s="8" t="str">
        <x:v>Retain original source and revision</x:v>
      </x:c>
      <x:c r="I353" s="8" t="str">
        <x:v>By approved record class policy</x:v>
      </x:c>
    </x:row>
    <x:row r="354" ht="35.25" customHeight="1">
      <x:c r="A354" s="7" t="str">
        <x:v>SafetyCase</x:v>
      </x:c>
      <x:c r="B354" s="7" t="str">
        <x:v>owner_ref</x:v>
      </x:c>
      <x:c r="C354" s="7" t="str">
        <x:v>text</x:v>
      </x:c>
      <x:c r="D354" s="7" t="str">
        <x:v>Required</x:v>
      </x:c>
      <x:c r="E354" s="7" t="str">
        <x:v>Assigned principal, institution or monitored queue accountable for the work. Type: string</x:v>
      </x:c>
      <x:c r="F354" s="7" t="str">
        <x:v>Sensitive</x:v>
      </x:c>
      <x:c r="G354" s="7" t="str">
        <x:v>Authorised actor or verified source</x:v>
      </x:c>
      <x:c r="H354" s="7" t="str">
        <x:v>Retain original source and revision</x:v>
      </x:c>
      <x:c r="I354" s="7" t="str">
        <x:v>By approved record class policy</x:v>
      </x:c>
    </x:row>
    <x:row r="355" ht="35.25" customHeight="1">
      <x:c r="A355" s="8" t="str">
        <x:v>SafetyCase</x:v>
      </x:c>
      <x:c r="B355" s="8" t="str">
        <x:v>affected_refs</x:v>
      </x:c>
      <x:c r="C355" s="8" t="str">
        <x:v>jsonb</x:v>
      </x:c>
      <x:c r="D355" s="8" t="str">
        <x:v>Required</x:v>
      </x:c>
      <x:c r="E355" s="8" t="str">
        <x:v>Affected records, requests or configurations requiring investigation. Type: array</x:v>
      </x:c>
      <x:c r="F355" s="8" t="str">
        <x:v>Sensitive</x:v>
      </x:c>
      <x:c r="G355" s="8" t="str">
        <x:v>Authorised actor or verified source</x:v>
      </x:c>
      <x:c r="H355" s="8" t="str">
        <x:v>Retain original source and revision</x:v>
      </x:c>
      <x:c r="I355" s="8" t="str">
        <x:v>By approved record class policy</x:v>
      </x:c>
    </x:row>
    <x:row r="356" ht="35.25" customHeight="1">
      <x:c r="A356" s="7" t="str">
        <x:v>SafetyCase</x:v>
      </x:c>
      <x:c r="B356" s="7" t="str">
        <x:v>containment_refs</x:v>
      </x:c>
      <x:c r="C356" s="7" t="str">
        <x:v>jsonb</x:v>
      </x:c>
      <x:c r="D356" s="7" t="str">
        <x:v>Required</x:v>
      </x:c>
      <x:c r="E356" s="7" t="str">
        <x:v>Evidence of containment actions and remaining exposure. Type: array</x:v>
      </x:c>
      <x:c r="F356" s="7" t="str">
        <x:v>Sensitive</x:v>
      </x:c>
      <x:c r="G356" s="7" t="str">
        <x:v>Authorised actor or verified source</x:v>
      </x:c>
      <x:c r="H356" s="7" t="str">
        <x:v>Retain original source and revision</x:v>
      </x:c>
      <x:c r="I356" s="7" t="str">
        <x:v>By approved record class policy</x:v>
      </x:c>
    </x:row>
    <x:row r="357" ht="35.25" customHeight="1">
      <x:c r="A357" s="8" t="str">
        <x:v>SupportCase</x:v>
      </x:c>
      <x:c r="B357" s="8" t="str">
        <x:v>id</x:v>
      </x:c>
      <x:c r="C357" s="8" t="str">
        <x:v>uuid</x:v>
      </x:c>
      <x:c r="D357" s="8" t="str">
        <x:v>Required</x:v>
      </x:c>
      <x:c r="E357" s="8" t="str">
        <x:v>Stable platform resource identifier, independent of external patient identifiers. Format: uuid</x:v>
      </x:c>
      <x:c r="F357" s="8" t="str">
        <x:v>Sensitive</x:v>
      </x:c>
      <x:c r="G357" s="8" t="str">
        <x:v>Server generated</x:v>
      </x:c>
      <x:c r="H357" s="8" t="str">
        <x:v>Retain original source and revision</x:v>
      </x:c>
      <x:c r="I357" s="8" t="str">
        <x:v>By approved record class policy</x:v>
      </x:c>
    </x:row>
    <x:row r="358" ht="35.25" customHeight="1">
      <x:c r="A358" s="7" t="str">
        <x:v>SupportCase</x:v>
      </x:c>
      <x:c r="B358" s="7" t="str">
        <x:v>tenant_id</x:v>
      </x:c>
      <x:c r="C358" s="7" t="str">
        <x:v>uuid</x:v>
      </x:c>
      <x:c r="D358" s="7" t="str">
        <x:v>Required</x:v>
      </x:c>
      <x:c r="E358" s="7" t="str">
        <x:v>Owning deployment boundary derived from verified server context. Format: uuid</x:v>
      </x:c>
      <x:c r="F358" s="7" t="str">
        <x:v>Sensitive</x:v>
      </x:c>
      <x:c r="G358" s="7" t="str">
        <x:v>Server generated</x:v>
      </x:c>
      <x:c r="H358" s="7" t="str">
        <x:v>Retain original source and revision</x:v>
      </x:c>
      <x:c r="I358" s="7" t="str">
        <x:v>By approved record class policy</x:v>
      </x:c>
    </x:row>
    <x:row r="359" ht="35.25" customHeight="1">
      <x:c r="A359" s="8" t="str">
        <x:v>SupportCase</x:v>
      </x:c>
      <x:c r="B359" s="8" t="str">
        <x:v>version</x:v>
      </x:c>
      <x:c r="C359" s="8" t="str">
        <x:v>bigint</x:v>
      </x:c>
      <x:c r="D359" s="8" t="str">
        <x:v>Required</x:v>
      </x:c>
      <x:c r="E359" s="8" t="str">
        <x:v>Monotonically increasing resource version used for concurrency and revision binding. Type: integer</x:v>
      </x:c>
      <x:c r="F359" s="8" t="str">
        <x:v>Sensitive</x:v>
      </x:c>
      <x:c r="G359" s="8" t="str">
        <x:v>Server generated</x:v>
      </x:c>
      <x:c r="H359" s="8" t="str">
        <x:v>Retain original source and revision</x:v>
      </x:c>
      <x:c r="I359" s="8" t="str">
        <x:v>By approved record class policy</x:v>
      </x:c>
    </x:row>
    <x:row r="360" ht="47.25" customHeight="1">
      <x:c r="A360" s="7" t="str">
        <x:v>SupportCase</x:v>
      </x:c>
      <x:c r="B360" s="7" t="str">
        <x:v>environment</x:v>
      </x:c>
      <x:c r="C360" s="7" t="str">
        <x:v>text</x:v>
      </x:c>
      <x:c r="D360" s="7" t="str">
        <x:v>Required</x:v>
      </x:c>
      <x:c r="E360" s="7" t="str">
        <x:v>Synthetic, test or production origin; environments must not exchange live credentials. Allowed values: synthetic, test, production</x:v>
      </x:c>
      <x:c r="F360" s="7" t="str">
        <x:v>Sensitive</x:v>
      </x:c>
      <x:c r="G360" s="7" t="str">
        <x:v>Server generated</x:v>
      </x:c>
      <x:c r="H360" s="7" t="str">
        <x:v>Retain original source and revision</x:v>
      </x:c>
      <x:c r="I360" s="7" t="str">
        <x:v>By approved record class policy</x:v>
      </x:c>
    </x:row>
    <x:row r="361" ht="35.25" customHeight="1">
      <x:c r="A361" s="8" t="str">
        <x:v>SupportCase</x:v>
      </x:c>
      <x:c r="B361" s="8" t="str">
        <x:v>created_at</x:v>
      </x:c>
      <x:c r="C361" s="8" t="str">
        <x:v>timestamptz</x:v>
      </x:c>
      <x:c r="D361" s="8" t="str">
        <x:v>Required</x:v>
      </x:c>
      <x:c r="E361" s="8" t="str">
        <x:v>Server timestamp at original resource creation. Format: date-time</x:v>
      </x:c>
      <x:c r="F361" s="8" t="str">
        <x:v>Sensitive</x:v>
      </x:c>
      <x:c r="G361" s="8" t="str">
        <x:v>Server generated</x:v>
      </x:c>
      <x:c r="H361" s="8" t="str">
        <x:v>Retain original source and revision</x:v>
      </x:c>
      <x:c r="I361" s="8" t="str">
        <x:v>By approved record class policy</x:v>
      </x:c>
    </x:row>
    <x:row r="362" ht="35.25" customHeight="1">
      <x:c r="A362" s="7" t="str">
        <x:v>SupportCase</x:v>
      </x:c>
      <x:c r="B362" s="7" t="str">
        <x:v>updated_at</x:v>
      </x:c>
      <x:c r="C362" s="7" t="str">
        <x:v>timestamptz</x:v>
      </x:c>
      <x:c r="D362" s="7" t="str">
        <x:v>Required</x:v>
      </x:c>
      <x:c r="E362" s="7" t="str">
        <x:v>Server timestamp at the latest current-pointer or lifecycle change. Format: date-time</x:v>
      </x:c>
      <x:c r="F362" s="7" t="str">
        <x:v>Sensitive</x:v>
      </x:c>
      <x:c r="G362" s="7" t="str">
        <x:v>Server generated</x:v>
      </x:c>
      <x:c r="H362" s="7" t="str">
        <x:v>Retain original source and revision</x:v>
      </x:c>
      <x:c r="I362" s="7" t="str">
        <x:v>By approved record class policy</x:v>
      </x:c>
    </x:row>
    <x:row r="363" ht="30" customHeight="1">
      <x:c r="A363" s="8" t="str">
        <x:v>SupportCase</x:v>
      </x:c>
      <x:c r="B363" s="8" t="str">
        <x:v>category</x:v>
      </x:c>
      <x:c r="C363" s="8" t="str">
        <x:v>text</x:v>
      </x:c>
      <x:c r="D363" s="8" t="str">
        <x:v>Required</x:v>
      </x:c>
      <x:c r="E363" s="8" t="str">
        <x:v>Type: string</x:v>
      </x:c>
      <x:c r="F363" s="8" t="str">
        <x:v>Sensitive</x:v>
      </x:c>
      <x:c r="G363" s="8" t="str">
        <x:v>Authorised actor or verified source</x:v>
      </x:c>
      <x:c r="H363" s="8" t="str">
        <x:v>Retain original source and revision</x:v>
      </x:c>
      <x:c r="I363" s="8" t="str">
        <x:v>By approved record class policy</x:v>
      </x:c>
    </x:row>
    <x:row r="364" ht="35.25" customHeight="1">
      <x:c r="A364" s="7" t="str">
        <x:v>SupportCase</x:v>
      </x:c>
      <x:c r="B364" s="7" t="str">
        <x:v>summary</x:v>
      </x:c>
      <x:c r="C364" s="7" t="str">
        <x:v>text</x:v>
      </x:c>
      <x:c r="D364" s="7" t="str">
        <x:v>Required</x:v>
      </x:c>
      <x:c r="E364" s="7" t="str">
        <x:v>Minimum necessary case description; avoid unrestricted clinical narrative. Type: string</x:v>
      </x:c>
      <x:c r="F364" s="7" t="str">
        <x:v>Sensitive</x:v>
      </x:c>
      <x:c r="G364" s="7" t="str">
        <x:v>Authorised actor or verified source</x:v>
      </x:c>
      <x:c r="H364" s="7" t="str">
        <x:v>Retain original source and revision</x:v>
      </x:c>
      <x:c r="I364" s="7" t="str">
        <x:v>By approved record class policy</x:v>
      </x:c>
    </x:row>
    <x:row r="365" ht="30" customHeight="1">
      <x:c r="A365" s="8" t="str">
        <x:v>SupportCase</x:v>
      </x:c>
      <x:c r="B365" s="8" t="str">
        <x:v>state</x:v>
      </x:c>
      <x:c r="C365" s="8" t="str">
        <x:v>text</x:v>
      </x:c>
      <x:c r="D365" s="8" t="str">
        <x:v>Required</x:v>
      </x:c>
      <x:c r="E365" s="8" t="str">
        <x:v>Allowed values: open, assigned, resolved, closed</x:v>
      </x:c>
      <x:c r="F365" s="8" t="str">
        <x:v>Sensitive</x:v>
      </x:c>
      <x:c r="G365" s="8" t="str">
        <x:v>Authorised actor or verified source</x:v>
      </x:c>
      <x:c r="H365" s="8" t="str">
        <x:v>Retain original source and revision</x:v>
      </x:c>
      <x:c r="I365" s="8" t="str">
        <x:v>By approved record class policy</x:v>
      </x:c>
    </x:row>
    <x:row r="366" ht="35.25" customHeight="1">
      <x:c r="A366" s="7" t="str">
        <x:v>SupportCase</x:v>
      </x:c>
      <x:c r="B366" s="7" t="str">
        <x:v>owner_ref</x:v>
      </x:c>
      <x:c r="C366" s="7" t="str">
        <x:v>text</x:v>
      </x:c>
      <x:c r="D366" s="7" t="str">
        <x:v>Required</x:v>
      </x:c>
      <x:c r="E366" s="7" t="str">
        <x:v>Assigned principal, institution or monitored queue accountable for the work. Type: string</x:v>
      </x:c>
      <x:c r="F366" s="7" t="str">
        <x:v>Sensitive</x:v>
      </x:c>
      <x:c r="G366" s="7" t="str">
        <x:v>Authorised actor or verified source</x:v>
      </x:c>
      <x:c r="H366" s="7" t="str">
        <x:v>Retain original source and revision</x:v>
      </x:c>
      <x:c r="I366" s="7" t="str">
        <x:v>By approved record class policy</x:v>
      </x:c>
    </x:row>
    <x:row r="367" ht="35.25" customHeight="1">
      <x:c r="A367" s="8" t="str">
        <x:v>SupportCase</x:v>
      </x:c>
      <x:c r="B367" s="8" t="str">
        <x:v>diagnostic_refs</x:v>
      </x:c>
      <x:c r="C367" s="8" t="str">
        <x:v>jsonb</x:v>
      </x:c>
      <x:c r="D367" s="8" t="str">
        <x:v>Required</x:v>
      </x:c>
      <x:c r="E367" s="8" t="str">
        <x:v>Redacted technical diagnostics for a support case. Type: array</x:v>
      </x:c>
      <x:c r="F367" s="8" t="str">
        <x:v>Sensitive</x:v>
      </x:c>
      <x:c r="G367" s="8" t="str">
        <x:v>Authorised actor or verified source</x:v>
      </x:c>
      <x:c r="H367" s="8" t="str">
        <x:v>Retain original source and revision</x:v>
      </x:c>
      <x:c r="I367" s="8" t="str">
        <x:v>By approved record class policy</x:v>
      </x:c>
    </x:row>
    <x:row r="368" ht="35.25" customHeight="1">
      <x:c r="A368" s="7" t="str">
        <x:v>SupportCase</x:v>
      </x:c>
      <x:c r="B368" s="7" t="str">
        <x:v>access_grant_id</x:v>
      </x:c>
      <x:c r="C368" s="7" t="str">
        <x:v>uuid</x:v>
      </x:c>
      <x:c r="D368" s="7" t="str">
        <x:v>Optional</x:v>
      </x:c>
      <x:c r="E368" s="7" t="str">
        <x:v>Separate approved temporary support access grant. Format: uuid</x:v>
      </x:c>
      <x:c r="F368" s="7" t="str">
        <x:v>Sensitive</x:v>
      </x:c>
      <x:c r="G368" s="7" t="str">
        <x:v>Authorised actor or verified source</x:v>
      </x:c>
      <x:c r="H368" s="7" t="str">
        <x:v>Retain original source and revision</x:v>
      </x:c>
      <x:c r="I368" s="7" t="str">
        <x:v>By approved record class policy</x:v>
      </x:c>
    </x:row>
    <x:row r="369" ht="35.25" customHeight="1">
      <x:c r="A369" s="8" t="str">
        <x:v>SupportCase</x:v>
      </x:c>
      <x:c r="B369" s="8" t="str">
        <x:v>expires_at</x:v>
      </x:c>
      <x:c r="C369" s="8" t="str">
        <x:v>timestamptz</x:v>
      </x:c>
      <x:c r="D369" s="8" t="str">
        <x:v>Optional</x:v>
      </x:c>
      <x:c r="E369" s="8" t="str">
        <x:v>Authority, grant or ticket expiry evaluated against trusted server time. Format: date-time</x:v>
      </x:c>
      <x:c r="F369" s="8" t="str">
        <x:v>Sensitive</x:v>
      </x:c>
      <x:c r="G369" s="8" t="str">
        <x:v>Authorised actor or verified source</x:v>
      </x:c>
      <x:c r="H369" s="8" t="str">
        <x:v>Retain original source and revision</x:v>
      </x:c>
      <x:c r="I369" s="8" t="str">
        <x:v>By approved record class policy</x:v>
      </x:c>
    </x:row>
    <x:row r="370" ht="35.25" customHeight="1">
      <x:c r="A370" s="7" t="str">
        <x:v>ReportDefinition</x:v>
      </x:c>
      <x:c r="B370" s="7" t="str">
        <x:v>id</x:v>
      </x:c>
      <x:c r="C370" s="7" t="str">
        <x:v>uuid</x:v>
      </x:c>
      <x:c r="D370" s="7" t="str">
        <x:v>Required</x:v>
      </x:c>
      <x:c r="E370" s="7" t="str">
        <x:v>Stable platform resource identifier, independent of external patient identifiers. Format: uuid</x:v>
      </x:c>
      <x:c r="F370" s="7" t="str">
        <x:v>Configuration</x:v>
      </x:c>
      <x:c r="G370" s="7" t="str">
        <x:v>Server generated</x:v>
      </x:c>
      <x:c r="H370" s="7" t="str">
        <x:v>Retain original source and revision</x:v>
      </x:c>
      <x:c r="I370" s="7" t="str">
        <x:v>By approved record class policy</x:v>
      </x:c>
    </x:row>
    <x:row r="371" ht="35.25" customHeight="1">
      <x:c r="A371" s="8" t="str">
        <x:v>ReportDefinition</x:v>
      </x:c>
      <x:c r="B371" s="8" t="str">
        <x:v>tenant_id</x:v>
      </x:c>
      <x:c r="C371" s="8" t="str">
        <x:v>uuid</x:v>
      </x:c>
      <x:c r="D371" s="8" t="str">
        <x:v>Required</x:v>
      </x:c>
      <x:c r="E371" s="8" t="str">
        <x:v>Owning deployment boundary derived from verified server context. Format: uuid</x:v>
      </x:c>
      <x:c r="F371" s="8" t="str">
        <x:v>Configuration</x:v>
      </x:c>
      <x:c r="G371" s="8" t="str">
        <x:v>Server generated</x:v>
      </x:c>
      <x:c r="H371" s="8" t="str">
        <x:v>Retain original source and revision</x:v>
      </x:c>
      <x:c r="I371" s="8" t="str">
        <x:v>By approved record class policy</x:v>
      </x:c>
    </x:row>
    <x:row r="372" ht="35.25" customHeight="1">
      <x:c r="A372" s="7" t="str">
        <x:v>ReportDefinition</x:v>
      </x:c>
      <x:c r="B372" s="7" t="str">
        <x:v>version</x:v>
      </x:c>
      <x:c r="C372" s="7" t="str">
        <x:v>bigint</x:v>
      </x:c>
      <x:c r="D372" s="7" t="str">
        <x:v>Required</x:v>
      </x:c>
      <x:c r="E372" s="7" t="str">
        <x:v>Monotonically increasing resource version used for concurrency and revision binding. Type: integer</x:v>
      </x:c>
      <x:c r="F372" s="7" t="str">
        <x:v>Configuration</x:v>
      </x:c>
      <x:c r="G372" s="7" t="str">
        <x:v>Server generated</x:v>
      </x:c>
      <x:c r="H372" s="7" t="str">
        <x:v>Retain original source and revision</x:v>
      </x:c>
      <x:c r="I372" s="7" t="str">
        <x:v>By approved record class policy</x:v>
      </x:c>
    </x:row>
    <x:row r="373" ht="47.25" customHeight="1">
      <x:c r="A373" s="8" t="str">
        <x:v>ReportDefinition</x:v>
      </x:c>
      <x:c r="B373" s="8" t="str">
        <x:v>environment</x:v>
      </x:c>
      <x:c r="C373" s="8" t="str">
        <x:v>text</x:v>
      </x:c>
      <x:c r="D373" s="8" t="str">
        <x:v>Required</x:v>
      </x:c>
      <x:c r="E373" s="8" t="str">
        <x:v>Synthetic, test or production origin; environments must not exchange live credentials. Allowed values: synthetic, test, production</x:v>
      </x:c>
      <x:c r="F373" s="8" t="str">
        <x:v>Configuration</x:v>
      </x:c>
      <x:c r="G373" s="8" t="str">
        <x:v>Server generated</x:v>
      </x:c>
      <x:c r="H373" s="8" t="str">
        <x:v>Retain original source and revision</x:v>
      </x:c>
      <x:c r="I373" s="8" t="str">
        <x:v>By approved record class policy</x:v>
      </x:c>
    </x:row>
    <x:row r="374" ht="35.25" customHeight="1">
      <x:c r="A374" s="7" t="str">
        <x:v>ReportDefinition</x:v>
      </x:c>
      <x:c r="B374" s="7" t="str">
        <x:v>created_at</x:v>
      </x:c>
      <x:c r="C374" s="7" t="str">
        <x:v>timestamptz</x:v>
      </x:c>
      <x:c r="D374" s="7" t="str">
        <x:v>Required</x:v>
      </x:c>
      <x:c r="E374" s="7" t="str">
        <x:v>Server timestamp at original resource creation. Format: date-time</x:v>
      </x:c>
      <x:c r="F374" s="7" t="str">
        <x:v>Configuration</x:v>
      </x:c>
      <x:c r="G374" s="7" t="str">
        <x:v>Server generated</x:v>
      </x:c>
      <x:c r="H374" s="7" t="str">
        <x:v>Retain original source and revision</x:v>
      </x:c>
      <x:c r="I374" s="7" t="str">
        <x:v>By approved record class policy</x:v>
      </x:c>
    </x:row>
    <x:row r="375" ht="35.25" customHeight="1">
      <x:c r="A375" s="8" t="str">
        <x:v>ReportDefinition</x:v>
      </x:c>
      <x:c r="B375" s="8" t="str">
        <x:v>updated_at</x:v>
      </x:c>
      <x:c r="C375" s="8" t="str">
        <x:v>timestamptz</x:v>
      </x:c>
      <x:c r="D375" s="8" t="str">
        <x:v>Required</x:v>
      </x:c>
      <x:c r="E375" s="8" t="str">
        <x:v>Server timestamp at the latest current-pointer or lifecycle change. Format: date-time</x:v>
      </x:c>
      <x:c r="F375" s="8" t="str">
        <x:v>Configuration</x:v>
      </x:c>
      <x:c r="G375" s="8" t="str">
        <x:v>Server generated</x:v>
      </x:c>
      <x:c r="H375" s="8" t="str">
        <x:v>Retain original source and revision</x:v>
      </x:c>
      <x:c r="I375" s="8" t="str">
        <x:v>By approved record class policy</x:v>
      </x:c>
    </x:row>
    <x:row r="376" ht="35.25" customHeight="1">
      <x:c r="A376" s="7" t="str">
        <x:v>ReportDefinition</x:v>
      </x:c>
      <x:c r="B376" s="7" t="str">
        <x:v>metric_key</x:v>
      </x:c>
      <x:c r="C376" s="7" t="str">
        <x:v>text</x:v>
      </x:c>
      <x:c r="D376" s="7" t="str">
        <x:v>Required</x:v>
      </x:c>
      <x:c r="E376" s="7" t="str">
        <x:v>Stable approved operational measure identifier. Type: string</x:v>
      </x:c>
      <x:c r="F376" s="7" t="str">
        <x:v>Configuration</x:v>
      </x:c>
      <x:c r="G376" s="7" t="str">
        <x:v>Authorised actor or verified source</x:v>
      </x:c>
      <x:c r="H376" s="7" t="str">
        <x:v>Retain original source and revision</x:v>
      </x:c>
      <x:c r="I376" s="7" t="str">
        <x:v>By approved record class policy</x:v>
      </x:c>
    </x:row>
    <x:row r="377" ht="35.25" customHeight="1">
      <x:c r="A377" s="8" t="str">
        <x:v>ReportDefinition</x:v>
      </x:c>
      <x:c r="B377" s="8" t="str">
        <x:v>definition_version</x:v>
      </x:c>
      <x:c r="C377" s="8" t="str">
        <x:v>text</x:v>
      </x:c>
      <x:c r="D377" s="8" t="str">
        <x:v>Required</x:v>
      </x:c>
      <x:c r="E377" s="8" t="str">
        <x:v>Version of the metric definition used for reproducibility. Type: string</x:v>
      </x:c>
      <x:c r="F377" s="8" t="str">
        <x:v>Configuration</x:v>
      </x:c>
      <x:c r="G377" s="8" t="str">
        <x:v>Authorised actor or verified source</x:v>
      </x:c>
      <x:c r="H377" s="8" t="str">
        <x:v>Retain original source and revision</x:v>
      </x:c>
      <x:c r="I377" s="8" t="str">
        <x:v>By approved record class policy</x:v>
      </x:c>
    </x:row>
    <x:row r="378" ht="35.25" customHeight="1">
      <x:c r="A378" s="7" t="str">
        <x:v>ReportDefinition</x:v>
      </x:c>
      <x:c r="B378" s="7" t="str">
        <x:v>numerator_ref</x:v>
      </x:c>
      <x:c r="C378" s="7" t="str">
        <x:v>text</x:v>
      </x:c>
      <x:c r="D378" s="7" t="str">
        <x:v>Required</x:v>
      </x:c>
      <x:c r="E378" s="7" t="str">
        <x:v>Versioned numerator query and event grain definition. Type: string</x:v>
      </x:c>
      <x:c r="F378" s="7" t="str">
        <x:v>Configuration</x:v>
      </x:c>
      <x:c r="G378" s="7" t="str">
        <x:v>Authorised actor or verified source</x:v>
      </x:c>
      <x:c r="H378" s="7" t="str">
        <x:v>Retain original source and revision</x:v>
      </x:c>
      <x:c r="I378" s="7" t="str">
        <x:v>By approved record class policy</x:v>
      </x:c>
    </x:row>
    <x:row r="379" ht="35.25" customHeight="1">
      <x:c r="A379" s="8" t="str">
        <x:v>ReportDefinition</x:v>
      </x:c>
      <x:c r="B379" s="8" t="str">
        <x:v>denominator_ref</x:v>
      </x:c>
      <x:c r="C379" s="8" t="str">
        <x:v>text</x:v>
      </x:c>
      <x:c r="D379" s="8" t="str">
        <x:v>Required</x:v>
      </x:c>
      <x:c r="E379" s="8" t="str">
        <x:v>Versioned eligible population or event denominator. Type: string</x:v>
      </x:c>
      <x:c r="F379" s="8" t="str">
        <x:v>Configuration</x:v>
      </x:c>
      <x:c r="G379" s="8" t="str">
        <x:v>Authorised actor or verified source</x:v>
      </x:c>
      <x:c r="H379" s="8" t="str">
        <x:v>Retain original source and revision</x:v>
      </x:c>
      <x:c r="I379" s="8" t="str">
        <x:v>By approved record class policy</x:v>
      </x:c>
    </x:row>
    <x:row r="380" ht="30" customHeight="1">
      <x:c r="A380" s="7" t="str">
        <x:v>ReportDefinition</x:v>
      </x:c>
      <x:c r="B380" s="7" t="str">
        <x:v>exclusion_ref</x:v>
      </x:c>
      <x:c r="C380" s="7" t="str">
        <x:v>text</x:v>
      </x:c>
      <x:c r="D380" s="7" t="str">
        <x:v>Required</x:v>
      </x:c>
      <x:c r="E380" s="7" t="str">
        <x:v>Explicit metric exclusions and reasons. Type: string</x:v>
      </x:c>
      <x:c r="F380" s="7" t="str">
        <x:v>Configuration</x:v>
      </x:c>
      <x:c r="G380" s="7" t="str">
        <x:v>Authorised actor or verified source</x:v>
      </x:c>
      <x:c r="H380" s="7" t="str">
        <x:v>Retain original source and revision</x:v>
      </x:c>
      <x:c r="I380" s="7" t="str">
        <x:v>By approved record class policy</x:v>
      </x:c>
    </x:row>
    <x:row r="381" ht="35.25" customHeight="1">
      <x:c r="A381" s="8" t="str">
        <x:v>ReportDefinition</x:v>
      </x:c>
      <x:c r="B381" s="8" t="str">
        <x:v>source_grain</x:v>
      </x:c>
      <x:c r="C381" s="8" t="str">
        <x:v>text</x:v>
      </x:c>
      <x:c r="D381" s="8" t="str">
        <x:v>Required</x:v>
      </x:c>
      <x:c r="E381" s="8" t="str">
        <x:v>Person, encounter, referral or accepted action grain; never silently mixed. Type: string</x:v>
      </x:c>
      <x:c r="F381" s="8" t="str">
        <x:v>Configuration</x:v>
      </x:c>
      <x:c r="G381" s="8" t="str">
        <x:v>Authorised actor or verified source</x:v>
      </x:c>
      <x:c r="H381" s="8" t="str">
        <x:v>Retain original source and revision</x:v>
      </x:c>
      <x:c r="I381" s="8" t="str">
        <x:v>By approved record class policy</x:v>
      </x:c>
    </x:row>
    <x:row r="382" ht="35.25" customHeight="1">
      <x:c r="A382" s="7" t="str">
        <x:v>ReportDefinition</x:v>
      </x:c>
      <x:c r="B382" s="7" t="str">
        <x:v>suppression_rule_ref</x:v>
      </x:c>
      <x:c r="C382" s="7" t="str">
        <x:v>text</x:v>
      </x:c>
      <x:c r="D382" s="7" t="str">
        <x:v>Required</x:v>
      </x:c>
      <x:c r="E382" s="7" t="str">
        <x:v>Approved privacy suppression and query-history rule. Type: string</x:v>
      </x:c>
      <x:c r="F382" s="7" t="str">
        <x:v>Configuration</x:v>
      </x:c>
      <x:c r="G382" s="7" t="str">
        <x:v>Authorised actor or verified source</x:v>
      </x:c>
      <x:c r="H382" s="7" t="str">
        <x:v>Retain original source and revision</x:v>
      </x:c>
      <x:c r="I382" s="7" t="str">
        <x:v>By approved record class policy</x:v>
      </x:c>
    </x:row>
    <x:row r="383" ht="30" customHeight="1">
      <x:c r="A383" s="8" t="str">
        <x:v>ReportDefinition</x:v>
      </x:c>
      <x:c r="B383" s="8" t="str">
        <x:v>state</x:v>
      </x:c>
      <x:c r="C383" s="8" t="str">
        <x:v>text</x:v>
      </x:c>
      <x:c r="D383" s="8" t="str">
        <x:v>Required</x:v>
      </x:c>
      <x:c r="E383" s="8" t="str">
        <x:v>Allowed values: draft, approved, active, retired</x:v>
      </x:c>
      <x:c r="F383" s="8" t="str">
        <x:v>Configuration</x:v>
      </x:c>
      <x:c r="G383" s="8" t="str">
        <x:v>Authorised actor or verified source</x:v>
      </x:c>
      <x:c r="H383" s="8" t="str">
        <x:v>Retain original source and revision</x:v>
      </x:c>
      <x:c r="I383" s="8" t="str">
        <x:v>By approved record class policy</x:v>
      </x:c>
    </x:row>
    <x:row r="384" ht="35.25" customHeight="1">
      <x:c r="A384" s="7" t="str">
        <x:v>ExportJob</x:v>
      </x:c>
      <x:c r="B384" s="7" t="str">
        <x:v>id</x:v>
      </x:c>
      <x:c r="C384" s="7" t="str">
        <x:v>uuid</x:v>
      </x:c>
      <x:c r="D384" s="7" t="str">
        <x:v>Required</x:v>
      </x:c>
      <x:c r="E384" s="7" t="str">
        <x:v>Stable platform resource identifier, independent of external patient identifiers. Format: uuid</x:v>
      </x:c>
      <x:c r="F384" s="7" t="str">
        <x:v>Sensitive</x:v>
      </x:c>
      <x:c r="G384" s="7" t="str">
        <x:v>Server generated</x:v>
      </x:c>
      <x:c r="H384" s="7" t="str">
        <x:v>Retain original source and revision</x:v>
      </x:c>
      <x:c r="I384" s="7" t="str">
        <x:v>By approved record class policy</x:v>
      </x:c>
    </x:row>
    <x:row r="385" ht="35.25" customHeight="1">
      <x:c r="A385" s="8" t="str">
        <x:v>ExportJob</x:v>
      </x:c>
      <x:c r="B385" s="8" t="str">
        <x:v>tenant_id</x:v>
      </x:c>
      <x:c r="C385" s="8" t="str">
        <x:v>uuid</x:v>
      </x:c>
      <x:c r="D385" s="8" t="str">
        <x:v>Required</x:v>
      </x:c>
      <x:c r="E385" s="8" t="str">
        <x:v>Owning deployment boundary derived from verified server context. Format: uuid</x:v>
      </x:c>
      <x:c r="F385" s="8" t="str">
        <x:v>Sensitive</x:v>
      </x:c>
      <x:c r="G385" s="8" t="str">
        <x:v>Server generated</x:v>
      </x:c>
      <x:c r="H385" s="8" t="str">
        <x:v>Retain original source and revision</x:v>
      </x:c>
      <x:c r="I385" s="8" t="str">
        <x:v>By approved record class policy</x:v>
      </x:c>
    </x:row>
    <x:row r="386" ht="35.25" customHeight="1">
      <x:c r="A386" s="7" t="str">
        <x:v>ExportJob</x:v>
      </x:c>
      <x:c r="B386" s="7" t="str">
        <x:v>version</x:v>
      </x:c>
      <x:c r="C386" s="7" t="str">
        <x:v>bigint</x:v>
      </x:c>
      <x:c r="D386" s="7" t="str">
        <x:v>Required</x:v>
      </x:c>
      <x:c r="E386" s="7" t="str">
        <x:v>Monotonically increasing resource version used for concurrency and revision binding. Type: integer</x:v>
      </x:c>
      <x:c r="F386" s="7" t="str">
        <x:v>Sensitive</x:v>
      </x:c>
      <x:c r="G386" s="7" t="str">
        <x:v>Server generated</x:v>
      </x:c>
      <x:c r="H386" s="7" t="str">
        <x:v>Retain original source and revision</x:v>
      </x:c>
      <x:c r="I386" s="7" t="str">
        <x:v>By approved record class policy</x:v>
      </x:c>
    </x:row>
    <x:row r="387" ht="47.25" customHeight="1">
      <x:c r="A387" s="8" t="str">
        <x:v>ExportJob</x:v>
      </x:c>
      <x:c r="B387" s="8" t="str">
        <x:v>environment</x:v>
      </x:c>
      <x:c r="C387" s="8" t="str">
        <x:v>text</x:v>
      </x:c>
      <x:c r="D387" s="8" t="str">
        <x:v>Required</x:v>
      </x:c>
      <x:c r="E387" s="8" t="str">
        <x:v>Synthetic, test or production origin; environments must not exchange live credentials. Allowed values: synthetic, test, production</x:v>
      </x:c>
      <x:c r="F387" s="8" t="str">
        <x:v>Sensitive</x:v>
      </x:c>
      <x:c r="G387" s="8" t="str">
        <x:v>Server generated</x:v>
      </x:c>
      <x:c r="H387" s="8" t="str">
        <x:v>Retain original source and revision</x:v>
      </x:c>
      <x:c r="I387" s="8" t="str">
        <x:v>By approved record class policy</x:v>
      </x:c>
    </x:row>
    <x:row r="388" ht="35.25" customHeight="1">
      <x:c r="A388" s="7" t="str">
        <x:v>ExportJob</x:v>
      </x:c>
      <x:c r="B388" s="7" t="str">
        <x:v>created_at</x:v>
      </x:c>
      <x:c r="C388" s="7" t="str">
        <x:v>timestamptz</x:v>
      </x:c>
      <x:c r="D388" s="7" t="str">
        <x:v>Required</x:v>
      </x:c>
      <x:c r="E388" s="7" t="str">
        <x:v>Server timestamp at original resource creation. Format: date-time</x:v>
      </x:c>
      <x:c r="F388" s="7" t="str">
        <x:v>Sensitive</x:v>
      </x:c>
      <x:c r="G388" s="7" t="str">
        <x:v>Server generated</x:v>
      </x:c>
      <x:c r="H388" s="7" t="str">
        <x:v>Retain original source and revision</x:v>
      </x:c>
      <x:c r="I388" s="7" t="str">
        <x:v>By approved record class policy</x:v>
      </x:c>
    </x:row>
    <x:row r="389" ht="35.25" customHeight="1">
      <x:c r="A389" s="8" t="str">
        <x:v>ExportJob</x:v>
      </x:c>
      <x:c r="B389" s="8" t="str">
        <x:v>updated_at</x:v>
      </x:c>
      <x:c r="C389" s="8" t="str">
        <x:v>timestamptz</x:v>
      </x:c>
      <x:c r="D389" s="8" t="str">
        <x:v>Required</x:v>
      </x:c>
      <x:c r="E389" s="8" t="str">
        <x:v>Server timestamp at the latest current-pointer or lifecycle change. Format: date-time</x:v>
      </x:c>
      <x:c r="F389" s="8" t="str">
        <x:v>Sensitive</x:v>
      </x:c>
      <x:c r="G389" s="8" t="str">
        <x:v>Server generated</x:v>
      </x:c>
      <x:c r="H389" s="8" t="str">
        <x:v>Retain original source and revision</x:v>
      </x:c>
      <x:c r="I389" s="8" t="str">
        <x:v>By approved record class policy</x:v>
      </x:c>
    </x:row>
    <x:row r="390" ht="35.25" customHeight="1">
      <x:c r="A390" s="7" t="str">
        <x:v>ExportJob</x:v>
      </x:c>
      <x:c r="B390" s="7" t="str">
        <x:v>purpose</x:v>
      </x:c>
      <x:c r="C390" s="7" t="str">
        <x:v>text</x:v>
      </x:c>
      <x:c r="D390" s="7" t="str">
        <x:v>Required</x:v>
      </x:c>
      <x:c r="E390" s="7" t="str">
        <x:v>Specific approved purpose for processing or disclosure. Type: string</x:v>
      </x:c>
      <x:c r="F390" s="7" t="str">
        <x:v>Sensitive</x:v>
      </x:c>
      <x:c r="G390" s="7" t="str">
        <x:v>Authorised actor or verified source</x:v>
      </x:c>
      <x:c r="H390" s="7" t="str">
        <x:v>Retain original source and revision</x:v>
      </x:c>
      <x:c r="I390" s="7" t="str">
        <x:v>By approved record class policy</x:v>
      </x:c>
    </x:row>
    <x:row r="391" ht="35.25" customHeight="1">
      <x:c r="A391" s="8" t="str">
        <x:v>ExportJob</x:v>
      </x:c>
      <x:c r="B391" s="8" t="str">
        <x:v>scope_hash</x:v>
      </x:c>
      <x:c r="C391" s="8" t="str">
        <x:v>text</x:v>
      </x:c>
      <x:c r="D391" s="8" t="str">
        <x:v>Required</x:v>
      </x:c>
      <x:c r="E391" s="8" t="str">
        <x:v>Digest of approved export person/filter/purpose scope. Type: string</x:v>
      </x:c>
      <x:c r="F391" s="8" t="str">
        <x:v>Sensitive</x:v>
      </x:c>
      <x:c r="G391" s="8" t="str">
        <x:v>Authorised actor or verified source</x:v>
      </x:c>
      <x:c r="H391" s="8" t="str">
        <x:v>Retain original source and revision</x:v>
      </x:c>
      <x:c r="I391" s="8" t="str">
        <x:v>By approved record class policy</x:v>
      </x:c>
    </x:row>
    <x:row r="392" ht="35.25" customHeight="1">
      <x:c r="A392" s="7" t="str">
        <x:v>ExportJob</x:v>
      </x:c>
      <x:c r="B392" s="7" t="str">
        <x:v>authority_id</x:v>
      </x:c>
      <x:c r="C392" s="7" t="str">
        <x:v>uuid</x:v>
      </x:c>
      <x:c r="D392" s="7" t="str">
        <x:v>Required</x:v>
      </x:c>
      <x:c r="E392" s="7" t="str">
        <x:v>Current matching processing authority required for this action. Format: uuid</x:v>
      </x:c>
      <x:c r="F392" s="7" t="str">
        <x:v>Sensitive</x:v>
      </x:c>
      <x:c r="G392" s="7" t="str">
        <x:v>Authorised actor or verified source</x:v>
      </x:c>
      <x:c r="H392" s="7" t="str">
        <x:v>Retain original source and revision</x:v>
      </x:c>
      <x:c r="I392" s="7" t="str">
        <x:v>By approved record class policy</x:v>
      </x:c>
    </x:row>
    <x:row r="393" ht="35.25" customHeight="1">
      <x:c r="A393" s="8" t="str">
        <x:v>ExportJob</x:v>
      </x:c>
      <x:c r="B393" s="8" t="str">
        <x:v>state</x:v>
      </x:c>
      <x:c r="C393" s="8" t="str">
        <x:v>text</x:v>
      </x:c>
      <x:c r="D393" s="8" t="str">
        <x:v>Required</x:v>
      </x:c>
      <x:c r="E393" s="8" t="str">
        <x:v>Allowed values: requested, approved, running, available, expired, failed</x:v>
      </x:c>
      <x:c r="F393" s="8" t="str">
        <x:v>Sensitive</x:v>
      </x:c>
      <x:c r="G393" s="8" t="str">
        <x:v>Authorised actor or verified source</x:v>
      </x:c>
      <x:c r="H393" s="8" t="str">
        <x:v>Retain original source and revision</x:v>
      </x:c>
      <x:c r="I393" s="8" t="str">
        <x:v>By approved record class policy</x:v>
      </x:c>
    </x:row>
    <x:row r="394" ht="30" customHeight="1">
      <x:c r="A394" s="7" t="str">
        <x:v>ExportJob</x:v>
      </x:c>
      <x:c r="B394" s="7" t="str">
        <x:v>format</x:v>
      </x:c>
      <x:c r="C394" s="7" t="str">
        <x:v>text</x:v>
      </x:c>
      <x:c r="D394" s="7" t="str">
        <x:v>Required</x:v>
      </x:c>
      <x:c r="E394" s="7" t="str">
        <x:v>Allowed values: csv, json, fhir</x:v>
      </x:c>
      <x:c r="F394" s="7" t="str">
        <x:v>Sensitive</x:v>
      </x:c>
      <x:c r="G394" s="7" t="str">
        <x:v>Authorised actor or verified source</x:v>
      </x:c>
      <x:c r="H394" s="7" t="str">
        <x:v>Retain original source and revision</x:v>
      </x:c>
      <x:c r="I394" s="7" t="str">
        <x:v>By approved record class policy</x:v>
      </x:c>
    </x:row>
    <x:row r="395" ht="35.25" customHeight="1">
      <x:c r="A395" s="8" t="str">
        <x:v>ExportJob</x:v>
      </x:c>
      <x:c r="B395" s="8" t="str">
        <x:v>row_count</x:v>
      </x:c>
      <x:c r="C395" s="8" t="str">
        <x:v>bigint</x:v>
      </x:c>
      <x:c r="D395" s="8" t="str">
        <x:v>Optional</x:v>
      </x:c>
      <x:c r="E395" s="8" t="str">
        <x:v>Verified count included in the final export manifest. Type: integer</x:v>
      </x:c>
      <x:c r="F395" s="8" t="str">
        <x:v>Sensitive</x:v>
      </x:c>
      <x:c r="G395" s="8" t="str">
        <x:v>Authorised actor or verified source</x:v>
      </x:c>
      <x:c r="H395" s="8" t="str">
        <x:v>Retain original source and revision</x:v>
      </x:c>
      <x:c r="I395" s="8" t="str">
        <x:v>By approved record class policy</x:v>
      </x:c>
    </x:row>
    <x:row r="396" ht="35.25" customHeight="1">
      <x:c r="A396" s="7" t="str">
        <x:v>ExportJob</x:v>
      </x:c>
      <x:c r="B396" s="7" t="str">
        <x:v>manifest_ref</x:v>
      </x:c>
      <x:c r="C396" s="7" t="str">
        <x:v>text</x:v>
      </x:c>
      <x:c r="D396" s="7" t="str">
        <x:v>Optional</x:v>
      </x:c>
      <x:c r="E396" s="7" t="str">
        <x:v>Controlled reference to the immutable manifest or export package. Type: string</x:v>
      </x:c>
      <x:c r="F396" s="7" t="str">
        <x:v>Sensitive</x:v>
      </x:c>
      <x:c r="G396" s="7" t="str">
        <x:v>Authorised actor or verified source</x:v>
      </x:c>
      <x:c r="H396" s="7" t="str">
        <x:v>Retain original source and revision</x:v>
      </x:c>
      <x:c r="I396" s="7" t="str">
        <x:v>By approved record class policy</x:v>
      </x:c>
    </x:row>
    <x:row r="397" ht="35.25" customHeight="1">
      <x:c r="A397" s="8" t="str">
        <x:v>ExportJob</x:v>
      </x:c>
      <x:c r="B397" s="8" t="str">
        <x:v>download_expires_at</x:v>
      </x:c>
      <x:c r="C397" s="8" t="str">
        <x:v>timestamptz</x:v>
      </x:c>
      <x:c r="D397" s="8" t="str">
        <x:v>Optional</x:v>
      </x:c>
      <x:c r="E397" s="8" t="str">
        <x:v>Time at which scoped export access stops. Format: date-time</x:v>
      </x:c>
      <x:c r="F397" s="8" t="str">
        <x:v>Sensitive</x:v>
      </x:c>
      <x:c r="G397" s="8" t="str">
        <x:v>Authorised actor or verified source</x:v>
      </x:c>
      <x:c r="H397" s="8" t="str">
        <x:v>Retain original source and revision</x:v>
      </x:c>
      <x:c r="I397" s="8" t="str">
        <x:v>By approved record class policy</x:v>
      </x:c>
    </x:row>
    <x:row r="398" ht="35.25" customHeight="1">
      <x:c r="A398" s="7" t="str">
        <x:v>DeploymentConfig</x:v>
      </x:c>
      <x:c r="B398" s="7" t="str">
        <x:v>id</x:v>
      </x:c>
      <x:c r="C398" s="7" t="str">
        <x:v>uuid</x:v>
      </x:c>
      <x:c r="D398" s="7" t="str">
        <x:v>Required</x:v>
      </x:c>
      <x:c r="E398" s="7" t="str">
        <x:v>Stable platform resource identifier, independent of external patient identifiers. Format: uuid</x:v>
      </x:c>
      <x:c r="F398" s="7" t="str">
        <x:v>Configuration</x:v>
      </x:c>
      <x:c r="G398" s="7" t="str">
        <x:v>Server generated</x:v>
      </x:c>
      <x:c r="H398" s="7" t="str">
        <x:v>Retain original source and revision</x:v>
      </x:c>
      <x:c r="I398" s="7" t="str">
        <x:v>By approved record class policy</x:v>
      </x:c>
    </x:row>
    <x:row r="399" ht="35.25" customHeight="1">
      <x:c r="A399" s="8" t="str">
        <x:v>DeploymentConfig</x:v>
      </x:c>
      <x:c r="B399" s="8" t="str">
        <x:v>tenant_id</x:v>
      </x:c>
      <x:c r="C399" s="8" t="str">
        <x:v>uuid</x:v>
      </x:c>
      <x:c r="D399" s="8" t="str">
        <x:v>Required</x:v>
      </x:c>
      <x:c r="E399" s="8" t="str">
        <x:v>Owning deployment boundary derived from verified server context. Format: uuid</x:v>
      </x:c>
      <x:c r="F399" s="8" t="str">
        <x:v>Configuration</x:v>
      </x:c>
      <x:c r="G399" s="8" t="str">
        <x:v>Server generated</x:v>
      </x:c>
      <x:c r="H399" s="8" t="str">
        <x:v>Retain original source and revision</x:v>
      </x:c>
      <x:c r="I399" s="8" t="str">
        <x:v>By approved record class policy</x:v>
      </x:c>
    </x:row>
    <x:row r="400" ht="35.25" customHeight="1">
      <x:c r="A400" s="7" t="str">
        <x:v>DeploymentConfig</x:v>
      </x:c>
      <x:c r="B400" s="7" t="str">
        <x:v>version</x:v>
      </x:c>
      <x:c r="C400" s="7" t="str">
        <x:v>bigint</x:v>
      </x:c>
      <x:c r="D400" s="7" t="str">
        <x:v>Required</x:v>
      </x:c>
      <x:c r="E400" s="7" t="str">
        <x:v>Monotonically increasing resource version used for concurrency and revision binding. Type: integer</x:v>
      </x:c>
      <x:c r="F400" s="7" t="str">
        <x:v>Configuration</x:v>
      </x:c>
      <x:c r="G400" s="7" t="str">
        <x:v>Server generated</x:v>
      </x:c>
      <x:c r="H400" s="7" t="str">
        <x:v>Retain original source and revision</x:v>
      </x:c>
      <x:c r="I400" s="7" t="str">
        <x:v>By approved record class policy</x:v>
      </x:c>
    </x:row>
    <x:row r="401" ht="47.25" customHeight="1">
      <x:c r="A401" s="8" t="str">
        <x:v>DeploymentConfig</x:v>
      </x:c>
      <x:c r="B401" s="8" t="str">
        <x:v>environment</x:v>
      </x:c>
      <x:c r="C401" s="8" t="str">
        <x:v>text</x:v>
      </x:c>
      <x:c r="D401" s="8" t="str">
        <x:v>Required</x:v>
      </x:c>
      <x:c r="E401" s="8" t="str">
        <x:v>Synthetic, test or production origin; environments must not exchange live credentials. Allowed values: synthetic, test, production</x:v>
      </x:c>
      <x:c r="F401" s="8" t="str">
        <x:v>Configuration</x:v>
      </x:c>
      <x:c r="G401" s="8" t="str">
        <x:v>Server generated</x:v>
      </x:c>
      <x:c r="H401" s="8" t="str">
        <x:v>Retain original source and revision</x:v>
      </x:c>
      <x:c r="I401" s="8" t="str">
        <x:v>By approved record class policy</x:v>
      </x:c>
    </x:row>
    <x:row r="402" ht="35.25" customHeight="1">
      <x:c r="A402" s="7" t="str">
        <x:v>DeploymentConfig</x:v>
      </x:c>
      <x:c r="B402" s="7" t="str">
        <x:v>created_at</x:v>
      </x:c>
      <x:c r="C402" s="7" t="str">
        <x:v>timestamptz</x:v>
      </x:c>
      <x:c r="D402" s="7" t="str">
        <x:v>Required</x:v>
      </x:c>
      <x:c r="E402" s="7" t="str">
        <x:v>Server timestamp at original resource creation. Format: date-time</x:v>
      </x:c>
      <x:c r="F402" s="7" t="str">
        <x:v>Configuration</x:v>
      </x:c>
      <x:c r="G402" s="7" t="str">
        <x:v>Server generated</x:v>
      </x:c>
      <x:c r="H402" s="7" t="str">
        <x:v>Retain original source and revision</x:v>
      </x:c>
      <x:c r="I402" s="7" t="str">
        <x:v>By approved record class policy</x:v>
      </x:c>
    </x:row>
    <x:row r="403" ht="35.25" customHeight="1">
      <x:c r="A403" s="8" t="str">
        <x:v>DeploymentConfig</x:v>
      </x:c>
      <x:c r="B403" s="8" t="str">
        <x:v>updated_at</x:v>
      </x:c>
      <x:c r="C403" s="8" t="str">
        <x:v>timestamptz</x:v>
      </x:c>
      <x:c r="D403" s="8" t="str">
        <x:v>Required</x:v>
      </x:c>
      <x:c r="E403" s="8" t="str">
        <x:v>Server timestamp at the latest current-pointer or lifecycle change. Format: date-time</x:v>
      </x:c>
      <x:c r="F403" s="8" t="str">
        <x:v>Configuration</x:v>
      </x:c>
      <x:c r="G403" s="8" t="str">
        <x:v>Server generated</x:v>
      </x:c>
      <x:c r="H403" s="8" t="str">
        <x:v>Retain original source and revision</x:v>
      </x:c>
      <x:c r="I403" s="8" t="str">
        <x:v>By approved record class policy</x:v>
      </x:c>
    </x:row>
    <x:row r="404" ht="30" customHeight="1">
      <x:c r="A404" s="7" t="str">
        <x:v>DeploymentConfig</x:v>
      </x:c>
      <x:c r="B404" s="7" t="str">
        <x:v>config_version</x:v>
      </x:c>
      <x:c r="C404" s="7" t="str">
        <x:v>text</x:v>
      </x:c>
      <x:c r="D404" s="7" t="str">
        <x:v>Required</x:v>
      </x:c>
      <x:c r="E404" s="7" t="str">
        <x:v>Immutable deployment configuration version. Type: string</x:v>
      </x:c>
      <x:c r="F404" s="7" t="str">
        <x:v>Configuration</x:v>
      </x:c>
      <x:c r="G404" s="7" t="str">
        <x:v>Authorised actor or verified source</x:v>
      </x:c>
      <x:c r="H404" s="7" t="str">
        <x:v>Retain original source and revision</x:v>
      </x:c>
      <x:c r="I404" s="7" t="str">
        <x:v>By approved record class policy</x:v>
      </x:c>
    </x:row>
    <x:row r="405" ht="30" customHeight="1">
      <x:c r="A405" s="8" t="str">
        <x:v>DeploymentConfig</x:v>
      </x:c>
      <x:c r="B405" s="8" t="str">
        <x:v>pack_refs</x:v>
      </x:c>
      <x:c r="C405" s="8" t="str">
        <x:v>jsonb</x:v>
      </x:c>
      <x:c r="D405" s="8" t="str">
        <x:v>Required</x:v>
      </x:c>
      <x:c r="E405" s="8" t="str">
        <x:v>Compatible active programme versions. Type: array</x:v>
      </x:c>
      <x:c r="F405" s="8" t="str">
        <x:v>Configuration</x:v>
      </x:c>
      <x:c r="G405" s="8" t="str">
        <x:v>Authorised actor or verified source</x:v>
      </x:c>
      <x:c r="H405" s="8" t="str">
        <x:v>Retain original source and revision</x:v>
      </x:c>
      <x:c r="I405" s="8" t="str">
        <x:v>By approved record class policy</x:v>
      </x:c>
    </x:row>
    <x:row r="406" ht="30" customHeight="1">
      <x:c r="A406" s="7" t="str">
        <x:v>DeploymentConfig</x:v>
      </x:c>
      <x:c r="B406" s="7" t="str">
        <x:v>capability_refs</x:v>
      </x:c>
      <x:c r="C406" s="7" t="str">
        <x:v>jsonb</x:v>
      </x:c>
      <x:c r="D406" s="7" t="str">
        <x:v>Required</x:v>
      </x:c>
      <x:c r="E406" s="7" t="str">
        <x:v>Compatible activated AI capability versions. Type: array</x:v>
      </x:c>
      <x:c r="F406" s="7" t="str">
        <x:v>Configuration</x:v>
      </x:c>
      <x:c r="G406" s="7" t="str">
        <x:v>Authorised actor or verified source</x:v>
      </x:c>
      <x:c r="H406" s="7" t="str">
        <x:v>Retain original source and revision</x:v>
      </x:c>
      <x:c r="I406" s="7" t="str">
        <x:v>By approved record class policy</x:v>
      </x:c>
    </x:row>
    <x:row r="407" ht="30" customHeight="1">
      <x:c r="A407" s="8" t="str">
        <x:v>DeploymentConfig</x:v>
      </x:c>
      <x:c r="B407" s="8" t="str">
        <x:v>connector_refs</x:v>
      </x:c>
      <x:c r="C407" s="8" t="str">
        <x:v>jsonb</x:v>
      </x:c>
      <x:c r="D407" s="8" t="str">
        <x:v>Required</x:v>
      </x:c>
      <x:c r="E407" s="8" t="str">
        <x:v>Owner-approved connector profile versions. Type: array</x:v>
      </x:c>
      <x:c r="F407" s="8" t="str">
        <x:v>Configuration</x:v>
      </x:c>
      <x:c r="G407" s="8" t="str">
        <x:v>Authorised actor or verified source</x:v>
      </x:c>
      <x:c r="H407" s="8" t="str">
        <x:v>Retain original source and revision</x:v>
      </x:c>
      <x:c r="I407" s="8" t="str">
        <x:v>By approved record class policy</x:v>
      </x:c>
    </x:row>
    <x:row r="408" ht="35.25" customHeight="1">
      <x:c r="A408" s="7" t="str">
        <x:v>DeploymentConfig</x:v>
      </x:c>
      <x:c r="B408" s="7" t="str">
        <x:v>language_codes</x:v>
      </x:c>
      <x:c r="C408" s="7" t="str">
        <x:v>jsonb</x:v>
      </x:c>
      <x:c r="D408" s="7" t="str">
        <x:v>Required</x:v>
      </x:c>
      <x:c r="E408" s="7" t="str">
        <x:v>Enabled languages with reviewed compatible content. Type: array</x:v>
      </x:c>
      <x:c r="F408" s="7" t="str">
        <x:v>Configuration</x:v>
      </x:c>
      <x:c r="G408" s="7" t="str">
        <x:v>Authorised actor or verified source</x:v>
      </x:c>
      <x:c r="H408" s="7" t="str">
        <x:v>Retain original source and revision</x:v>
      </x:c>
      <x:c r="I408" s="7" t="str">
        <x:v>By approved record class policy</x:v>
      </x:c>
    </x:row>
    <x:row r="409" ht="35.25" customHeight="1">
      <x:c r="A409" s="8" t="str">
        <x:v>DeploymentConfig</x:v>
      </x:c>
      <x:c r="B409" s="8" t="str">
        <x:v>policy_version</x:v>
      </x:c>
      <x:c r="C409" s="8" t="str">
        <x:v>text</x:v>
      </x:c>
      <x:c r="D409" s="8" t="str">
        <x:v>Required</x:v>
      </x:c>
      <x:c r="E409" s="8" t="str">
        <x:v>Policy version used for evaluation, with current revalidation at execution. Type: string</x:v>
      </x:c>
      <x:c r="F409" s="8" t="str">
        <x:v>Configuration</x:v>
      </x:c>
      <x:c r="G409" s="8" t="str">
        <x:v>Authorised actor or verified source</x:v>
      </x:c>
      <x:c r="H409" s="8" t="str">
        <x:v>Retain original source and revision</x:v>
      </x:c>
      <x:c r="I409" s="8" t="str">
        <x:v>By approved record class policy</x:v>
      </x:c>
    </x:row>
    <x:row r="410" ht="35.25" customHeight="1">
      <x:c r="A410" s="7" t="str">
        <x:v>DeploymentConfig</x:v>
      </x:c>
      <x:c r="B410" s="7" t="str">
        <x:v>state</x:v>
      </x:c>
      <x:c r="C410" s="7" t="str">
        <x:v>text</x:v>
      </x:c>
      <x:c r="D410" s="7" t="str">
        <x:v>Required</x:v>
      </x:c>
      <x:c r="E410" s="7" t="str">
        <x:v>Allowed values: draft, validated, approved, active, retired</x:v>
      </x:c>
      <x:c r="F410" s="7" t="str">
        <x:v>Configuration</x:v>
      </x:c>
      <x:c r="G410" s="7" t="str">
        <x:v>Authorised actor or verified source</x:v>
      </x:c>
      <x:c r="H410" s="7" t="str">
        <x:v>Retain original source and revision</x:v>
      </x:c>
      <x:c r="I410" s="7" t="str">
        <x:v>By approved record class policy</x:v>
      </x:c>
    </x:row>
    <x:row r="411" ht="35.25" customHeight="1">
      <x:c r="A411" s="8" t="str">
        <x:v>DeploymentConfig</x:v>
      </x:c>
      <x:c r="B411" s="8" t="str">
        <x:v>manifest_hash</x:v>
      </x:c>
      <x:c r="C411" s="8" t="str">
        <x:v>text</x:v>
      </x:c>
      <x:c r="D411" s="8" t="str">
        <x:v>Required</x:v>
      </x:c>
      <x:c r="E411" s="8" t="str">
        <x:v>Digest of the reviewed immutable deployment manifest. Type: string</x:v>
      </x:c>
      <x:c r="F411" s="8" t="str">
        <x:v>Configuration</x:v>
      </x:c>
      <x:c r="G411" s="8" t="str">
        <x:v>Authorised actor or verified source</x:v>
      </x:c>
      <x:c r="H411" s="8" t="str">
        <x:v>Retain original source and revision</x:v>
      </x:c>
      <x:c r="I411" s="8" t="str">
        <x:v>By approved record class policy</x:v>
      </x:c>
    </x:row>
    <x:row r="412" ht="35.25" customHeight="1">
      <x:c r="A412" s="7" t="str">
        <x:v>DeploymentConfig</x:v>
      </x:c>
      <x:c r="B412" s="7" t="str">
        <x:v>approval_refs</x:v>
      </x:c>
      <x:c r="C412" s="7" t="str">
        <x:v>jsonb</x:v>
      </x:c>
      <x:c r="D412" s="7" t="str">
        <x:v>Required</x:v>
      </x:c>
      <x:c r="E412" s="7" t="str">
        <x:v>Required technical, programme, clinical or privacy approval evidence. Type: array</x:v>
      </x:c>
      <x:c r="F412" s="7" t="str">
        <x:v>Configuration</x:v>
      </x:c>
      <x:c r="G412" s="7" t="str">
        <x:v>Authorised actor or verified source</x:v>
      </x:c>
      <x:c r="H412" s="7" t="str">
        <x:v>Retain original source and revision</x:v>
      </x:c>
      <x:c r="I412" s="7" t="str">
        <x:v>By approved record class policy</x:v>
      </x:c>
    </x:row>
  </x:sheetData>
  <x:mergeCells>
    <x:mergeCell ref="A1:F1"/>
    <x:mergeCell ref="A2:F2"/>
    <x:mergeCell ref="A3:F3"/>
  </x:mergeCells>
  <x:pageMargins left="0.7" right="0.7" top="0.75" bottom="0.75" header="0.3" footer="0.3"/>
  <x:tableParts count="1">
    <x:tablePart xmlns:r="http://schemas.openxmlformats.org/officeDocument/2006/relationships" r:id="R5cb8874bd83e4cc0"/>
  </x:tableParts>
</x:worksheet>
</file>

<file path=xl/worksheets/sheet8.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10.5600004196167" hidden="0" customWidth="1"/>
    <x:col min="2" max="2" width="26.670000076293945" hidden="0" customWidth="1"/>
    <x:col min="3" max="3" width="10" hidden="0" customWidth="1"/>
    <x:col min="4" max="4" width="42.220001220703125" hidden="0" customWidth="1"/>
    <x:col min="5" max="5" width="26.670000076293945" hidden="0" customWidth="1"/>
    <x:col min="6" max="6" width="23.329999923706055" hidden="0" customWidth="1"/>
    <x:col min="7" max="7" width="22.219999313354492" hidden="0" customWidth="1"/>
    <x:col min="8" max="8" width="11.109999656677246" hidden="0" customWidth="1"/>
    <x:col min="9" max="9" width="51.11000061035156" hidden="0" customWidth="1"/>
  </x:cols>
  <x:sheetData>
    <x:row r="1" ht="28.5" customHeight="1">
      <x:c r="A1" s="4" t="str">
        <x:v>API Catalogue</x:v>
      </x:c>
      <x:c r="B1" s="4"/>
      <x:c r="C1" s="4"/>
      <x:c r="D1" s="4"/>
      <x:c r="E1" s="4"/>
      <x:c r="F1" s="4"/>
      <x:c r="G1" s="3"/>
      <x:c r="H1" s="3"/>
      <x:c r="I1" s="3"/>
    </x:row>
    <x:row r="2" ht="21" customHeight="1">
      <x:c r="A2" s="3" t="str">
        <x:v>Health AI Orchestration · v1.0 · source BRD v1.1 · proposed baseline · 26 September 2026</x:v>
      </x:c>
      <x:c r="B2" s="3"/>
      <x:c r="C2" s="3"/>
      <x:c r="D2" s="3"/>
      <x:c r="E2" s="3"/>
      <x:c r="F2" s="3"/>
      <x:c r="G2" s="3"/>
      <x:c r="H2" s="3"/>
      <x:c r="I2" s="3"/>
    </x:row>
    <x:row r="3" ht="21" customHeight="1">
      <x:c r="A3" s="3" t="str">
        <x:v>Controlled design catalogue. Update through the versioned specification review process.</x:v>
      </x:c>
      <x:c r="B3" s="3"/>
      <x:c r="C3" s="3"/>
      <x:c r="D3" s="3"/>
      <x:c r="E3" s="3"/>
      <x:c r="F3" s="3"/>
      <x:c r="G3" s="3"/>
      <x:c r="H3" s="3"/>
      <x:c r="I3" s="3"/>
    </x:row>
    <x:row r="4">
      <x:c r="A4" s="3"/>
      <x:c r="B4" s="3"/>
      <x:c r="C4" s="3"/>
      <x:c r="D4" s="3"/>
      <x:c r="E4" s="3"/>
      <x:c r="F4" s="3"/>
      <x:c r="G4" s="3"/>
      <x:c r="H4" s="3"/>
      <x:c r="I4" s="3"/>
    </x:row>
    <x:row r="5" ht="31.5" customHeight="1">
      <x:c r="A5" s="6" t="str">
        <x:v>ID</x:v>
      </x:c>
      <x:c r="B5" s="6" t="str">
        <x:v>Operation</x:v>
      </x:c>
      <x:c r="C5" s="6" t="str">
        <x:v>Method</x:v>
      </x:c>
      <x:c r="D5" s="6" t="str">
        <x:v>Path</x:v>
      </x:c>
      <x:c r="E5" s="6" t="str">
        <x:v>Input schema</x:v>
      </x:c>
      <x:c r="F5" s="6" t="str">
        <x:v>Response schema</x:v>
      </x:c>
      <x:c r="G5" s="6" t="str">
        <x:v>Version precondition</x:v>
      </x:c>
      <x:c r="H5" s="6" t="str">
        <x:v>BR family</x:v>
      </x:c>
      <x:c r="I5" s="6" t="str">
        <x:v>Meaning</x:v>
      </x:c>
    </x:row>
    <x:row r="6" ht="30" customHeight="1">
      <x:c r="A6" s="7" t="str">
        <x:v>API001</x:v>
      </x:c>
      <x:c r="B6" s="7" t="str">
        <x:v>createPerson</x:v>
      </x:c>
      <x:c r="C6" s="7" t="str">
        <x:v>POST</x:v>
      </x:c>
      <x:c r="D6" s="7" t="str">
        <x:v>/v1/persons</x:v>
      </x:c>
      <x:c r="E6" s="7" t="str">
        <x:v>createPersonInput</x:v>
      </x:c>
      <x:c r="F6" s="7" t="str">
        <x:v>CommandReceipt</x:v>
      </x:c>
      <x:c r="G6" s="7" t="str">
        <x:v>Not applicable</x:v>
      </x:c>
      <x:c r="H6" s="7" t="str">
        <x:v>ID</x:v>
      </x:c>
      <x:c r="I6" s="7" t="str">
        <x:v>Create a provisional local person</x:v>
      </x:c>
    </x:row>
    <x:row r="7" ht="30" customHeight="1">
      <x:c r="A7" s="8" t="str">
        <x:v>API002</x:v>
      </x:c>
      <x:c r="B7" s="8" t="str">
        <x:v>linkIdentifier</x:v>
      </x:c>
      <x:c r="C7" s="8" t="str">
        <x:v>POST</x:v>
      </x:c>
      <x:c r="D7" s="8" t="str">
        <x:v>/v1/persons/{id}/identifier-links</x:v>
      </x:c>
      <x:c r="E7" s="8" t="str">
        <x:v>linkIdentifierInput</x:v>
      </x:c>
      <x:c r="F7" s="8" t="str">
        <x:v>CommandReceipt</x:v>
      </x:c>
      <x:c r="G7" s="8" t="str">
        <x:v>If-Match required</x:v>
      </x:c>
      <x:c r="H7" s="8" t="str">
        <x:v>ID</x:v>
      </x:c>
      <x:c r="I7" s="8" t="str">
        <x:v>Create a verified external identity link after confirmation</x:v>
      </x:c>
    </x:row>
    <x:row r="8" ht="30" customHeight="1">
      <x:c r="A8" s="7" t="str">
        <x:v>API003</x:v>
      </x:c>
      <x:c r="B8" s="7" t="str">
        <x:v>correctIdentifier</x:v>
      </x:c>
      <x:c r="C8" s="7" t="str">
        <x:v>POST</x:v>
      </x:c>
      <x:c r="D8" s="7" t="str">
        <x:v>/v1/identifier-links/{id}/correct</x:v>
      </x:c>
      <x:c r="E8" s="7" t="str">
        <x:v>correctIdentifierInput</x:v>
      </x:c>
      <x:c r="F8" s="7" t="str">
        <x:v>CommandReceipt</x:v>
      </x:c>
      <x:c r="G8" s="7" t="str">
        <x:v>If-Match required</x:v>
      </x:c>
      <x:c r="H8" s="7" t="str">
        <x:v>ID</x:v>
      </x:c>
      <x:c r="I8" s="7" t="str">
        <x:v>Supersede a wrong identity link and create repair tasks</x:v>
      </x:c>
    </x:row>
    <x:row r="9" ht="30" customHeight="1">
      <x:c r="A9" s="8" t="str">
        <x:v>API004</x:v>
      </x:c>
      <x:c r="B9" s="8" t="str">
        <x:v>createEncounter</x:v>
      </x:c>
      <x:c r="C9" s="8" t="str">
        <x:v>POST</x:v>
      </x:c>
      <x:c r="D9" s="8" t="str">
        <x:v>/v1/encounters</x:v>
      </x:c>
      <x:c r="E9" s="8" t="str">
        <x:v>createEncounterInput</x:v>
      </x:c>
      <x:c r="F9" s="8" t="str">
        <x:v>CommandReceipt</x:v>
      </x:c>
      <x:c r="G9" s="8" t="str">
        <x:v>Not applicable</x:v>
      </x:c>
      <x:c r="H9" s="8" t="str">
        <x:v>UX</x:v>
      </x:c>
      <x:c r="I9" s="8" t="str">
        <x:v>Start an encounter for a confirmed active person</x:v>
      </x:c>
    </x:row>
    <x:row r="10" ht="30" customHeight="1">
      <x:c r="A10" s="7" t="str">
        <x:v>API005</x:v>
      </x:c>
      <x:c r="B10" s="7" t="str">
        <x:v>recordObservation</x:v>
      </x:c>
      <x:c r="C10" s="7" t="str">
        <x:v>POST</x:v>
      </x:c>
      <x:c r="D10" s="7" t="str">
        <x:v>/v1/encounters/{id}/observations</x:v>
      </x:c>
      <x:c r="E10" s="7" t="str">
        <x:v>recordObservationInput</x:v>
      </x:c>
      <x:c r="F10" s="7" t="str">
        <x:v>CommandReceipt</x:v>
      </x:c>
      <x:c r="G10" s="7" t="str">
        <x:v>If-Match required</x:v>
      </x:c>
      <x:c r="H10" s="7" t="str">
        <x:v>DATA</x:v>
      </x:c>
      <x:c r="I10" s="7" t="str">
        <x:v>Create a draft observation with value or missingness</x:v>
      </x:c>
    </x:row>
    <x:row r="11" ht="30" customHeight="1">
      <x:c r="A11" s="8" t="str">
        <x:v>API006</x:v>
      </x:c>
      <x:c r="B11" s="8" t="str">
        <x:v>confirmEncounter</x:v>
      </x:c>
      <x:c r="C11" s="8" t="str">
        <x:v>POST</x:v>
      </x:c>
      <x:c r="D11" s="8" t="str">
        <x:v>/v1/encounters/{id}/confirm</x:v>
      </x:c>
      <x:c r="E11" s="8" t="str">
        <x:v>confirmEncounterInput</x:v>
      </x:c>
      <x:c r="F11" s="8" t="str">
        <x:v>CommandReceipt</x:v>
      </x:c>
      <x:c r="G11" s="8" t="str">
        <x:v>If-Match required</x:v>
      </x:c>
      <x:c r="H11" s="8" t="str">
        <x:v>UX</x:v>
      </x:c>
      <x:c r="I11" s="8" t="str">
        <x:v>Confirm the reviewed encounter snapshot</x:v>
      </x:c>
    </x:row>
    <x:row r="12" ht="30" customHeight="1">
      <x:c r="A12" s="7" t="str">
        <x:v>API007</x:v>
      </x:c>
      <x:c r="B12" s="7" t="str">
        <x:v>amendObservation</x:v>
      </x:c>
      <x:c r="C12" s="7" t="str">
        <x:v>POST</x:v>
      </x:c>
      <x:c r="D12" s="7" t="str">
        <x:v>/v1/observations/{id}/amend</x:v>
      </x:c>
      <x:c r="E12" s="7" t="str">
        <x:v>amendObservationInput</x:v>
      </x:c>
      <x:c r="F12" s="7" t="str">
        <x:v>CommandReceipt</x:v>
      </x:c>
      <x:c r="G12" s="7" t="str">
        <x:v>If-Match required</x:v>
      </x:c>
      <x:c r="H12" s="7" t="str">
        <x:v>DATA</x:v>
      </x:c>
      <x:c r="I12" s="7" t="str">
        <x:v>Append a correction and invalidate dependent approval</x:v>
      </x:c>
    </x:row>
    <x:row r="13" ht="30" customHeight="1">
      <x:c r="A13" s="8" t="str">
        <x:v>API008</x:v>
      </x:c>
      <x:c r="B13" s="8" t="str">
        <x:v>resolveConflict</x:v>
      </x:c>
      <x:c r="C13" s="8" t="str">
        <x:v>POST</x:v>
      </x:c>
      <x:c r="D13" s="8" t="str">
        <x:v>/v1/conflicts/{id}/resolve</x:v>
      </x:c>
      <x:c r="E13" s="8" t="str">
        <x:v>resolveConflictInput</x:v>
      </x:c>
      <x:c r="F13" s="8" t="str">
        <x:v>CommandReceipt</x:v>
      </x:c>
      <x:c r="G13" s="8" t="str">
        <x:v>If-Match required</x:v>
      </x:c>
      <x:c r="H13" s="8" t="str">
        <x:v>DATA</x:v>
      </x:c>
      <x:c r="I13" s="8" t="str">
        <x:v>Resolve a recorded conflict without silent overwrite</x:v>
      </x:c>
    </x:row>
    <x:row r="14" ht="30" customHeight="1">
      <x:c r="A14" s="7" t="str">
        <x:v>API009</x:v>
      </x:c>
      <x:c r="B14" s="7" t="str">
        <x:v>recordAuthority</x:v>
      </x:c>
      <x:c r="C14" s="7" t="str">
        <x:v>POST</x:v>
      </x:c>
      <x:c r="D14" s="7" t="str">
        <x:v>/v1/authorities</x:v>
      </x:c>
      <x:c r="E14" s="7" t="str">
        <x:v>recordAuthorityInput</x:v>
      </x:c>
      <x:c r="F14" s="7" t="str">
        <x:v>CommandReceipt</x:v>
      </x:c>
      <x:c r="G14" s="7" t="str">
        <x:v>Not applicable</x:v>
      </x:c>
      <x:c r="H14" s="7" t="str">
        <x:v>SEC</x:v>
      </x:c>
      <x:c r="I14" s="7" t="str">
        <x:v>Record verified processing authority</x:v>
      </x:c>
    </x:row>
    <x:row r="15" ht="30" customHeight="1">
      <x:c r="A15" s="8" t="str">
        <x:v>API010</x:v>
      </x:c>
      <x:c r="B15" s="8" t="str">
        <x:v>withdrawAuthority</x:v>
      </x:c>
      <x:c r="C15" s="8" t="str">
        <x:v>POST</x:v>
      </x:c>
      <x:c r="D15" s="8" t="str">
        <x:v>/v1/authorities/{id}/withdraw</x:v>
      </x:c>
      <x:c r="E15" s="8" t="str">
        <x:v>withdrawAuthorityInput</x:v>
      </x:c>
      <x:c r="F15" s="8" t="str">
        <x:v>CommandReceipt</x:v>
      </x:c>
      <x:c r="G15" s="8" t="str">
        <x:v>If-Match required</x:v>
      </x:c>
      <x:c r="H15" s="8" t="str">
        <x:v>SEC</x:v>
      </x:c>
      <x:c r="I15" s="8" t="str">
        <x:v>Revoke authority and invalidate pending disclosures</x:v>
      </x:c>
    </x:row>
    <x:row r="16" ht="30" customHeight="1">
      <x:c r="A16" s="7" t="str">
        <x:v>API011</x:v>
      </x:c>
      <x:c r="B16" s="7" t="str">
        <x:v>preparePlan</x:v>
      </x:c>
      <x:c r="C16" s="7" t="str">
        <x:v>POST</x:v>
      </x:c>
      <x:c r="D16" s="7" t="str">
        <x:v>/v1/plans</x:v>
      </x:c>
      <x:c r="E16" s="7" t="str">
        <x:v>preparePlanInput</x:v>
      </x:c>
      <x:c r="F16" s="7" t="str">
        <x:v>CommandReceipt</x:v>
      </x:c>
      <x:c r="G16" s="7" t="str">
        <x:v>Not applicable</x:v>
      </x:c>
      <x:c r="H16" s="7" t="str">
        <x:v>AG</x:v>
      </x:c>
      <x:c r="I16" s="7" t="str">
        <x:v>Prepare a typed bounded plan</x:v>
      </x:c>
    </x:row>
    <x:row r="17" ht="30" customHeight="1">
      <x:c r="A17" s="8" t="str">
        <x:v>API012</x:v>
      </x:c>
      <x:c r="B17" s="8" t="str">
        <x:v>approvePlan</x:v>
      </x:c>
      <x:c r="C17" s="8" t="str">
        <x:v>POST</x:v>
      </x:c>
      <x:c r="D17" s="8" t="str">
        <x:v>/v1/plans/{id}/approvals</x:v>
      </x:c>
      <x:c r="E17" s="8" t="str">
        <x:v>approvePlanInput</x:v>
      </x:c>
      <x:c r="F17" s="8" t="str">
        <x:v>CommandReceipt</x:v>
      </x:c>
      <x:c r="G17" s="8" t="str">
        <x:v>If-Match required</x:v>
      </x:c>
      <x:c r="H17" s="8" t="str">
        <x:v>AG</x:v>
      </x:c>
      <x:c r="I17" s="8" t="str">
        <x:v>Approve exact permitted actions and evidence</x:v>
      </x:c>
    </x:row>
    <x:row r="18" ht="30" customHeight="1">
      <x:c r="A18" s="7" t="str">
        <x:v>API013</x:v>
      </x:c>
      <x:c r="B18" s="7" t="str">
        <x:v>executePlan</x:v>
      </x:c>
      <x:c r="C18" s="7" t="str">
        <x:v>POST</x:v>
      </x:c>
      <x:c r="D18" s="7" t="str">
        <x:v>/v1/plans/{id}/execute</x:v>
      </x:c>
      <x:c r="E18" s="7" t="str">
        <x:v>executePlanInput</x:v>
      </x:c>
      <x:c r="F18" s="7" t="str">
        <x:v>CommandReceipt</x:v>
      </x:c>
      <x:c r="G18" s="7" t="str">
        <x:v>If-Match required</x:v>
      </x:c>
      <x:c r="H18" s="7" t="str">
        <x:v>AG</x:v>
      </x:c>
      <x:c r="I18" s="7" t="str">
        <x:v>Queue approved actions after current policy checks</x:v>
      </x:c>
    </x:row>
    <x:row r="19" ht="30" customHeight="1">
      <x:c r="A19" s="8" t="str">
        <x:v>API014</x:v>
      </x:c>
      <x:c r="B19" s="8" t="str">
        <x:v>cancelPlan</x:v>
      </x:c>
      <x:c r="C19" s="8" t="str">
        <x:v>POST</x:v>
      </x:c>
      <x:c r="D19" s="8" t="str">
        <x:v>/v1/plans/{id}/cancel</x:v>
      </x:c>
      <x:c r="E19" s="8" t="str">
        <x:v>cancelPlanInput</x:v>
      </x:c>
      <x:c r="F19" s="8" t="str">
        <x:v>CommandReceipt</x:v>
      </x:c>
      <x:c r="G19" s="8" t="str">
        <x:v>If-Match required</x:v>
      </x:c>
      <x:c r="H19" s="8" t="str">
        <x:v>AG</x:v>
      </x:c>
      <x:c r="I19" s="8" t="str">
        <x:v>Cancel unfinished work and retain accepted external effects</x:v>
      </x:c>
    </x:row>
    <x:row r="20" ht="30" customHeight="1">
      <x:c r="A20" s="7" t="str">
        <x:v>API015</x:v>
      </x:c>
      <x:c r="B20" s="7" t="str">
        <x:v>invokeCapability</x:v>
      </x:c>
      <x:c r="C20" s="7" t="str">
        <x:v>POST</x:v>
      </x:c>
      <x:c r="D20" s="7" t="str">
        <x:v>/v1/ai-requests</x:v>
      </x:c>
      <x:c r="E20" s="7" t="str">
        <x:v>invokeCapabilityInput</x:v>
      </x:c>
      <x:c r="F20" s="7" t="str">
        <x:v>CommandReceipt</x:v>
      </x:c>
      <x:c r="G20" s="7" t="str">
        <x:v>Not applicable</x:v>
      </x:c>
      <x:c r="H20" s="7" t="str">
        <x:v>AI</x:v>
      </x:c>
      <x:c r="I20" s="7" t="str">
        <x:v>Admit an eligible provider invocation</x:v>
      </x:c>
    </x:row>
    <x:row r="21" ht="30" customHeight="1">
      <x:c r="A21" s="8" t="str">
        <x:v>API016</x:v>
      </x:c>
      <x:c r="B21" s="8" t="str">
        <x:v>cancelAIRequest</x:v>
      </x:c>
      <x:c r="C21" s="8" t="str">
        <x:v>POST</x:v>
      </x:c>
      <x:c r="D21" s="8" t="str">
        <x:v>/v1/ai-requests/{id}/cancel</x:v>
      </x:c>
      <x:c r="E21" s="8" t="str">
        <x:v>cancelAIRequestInput</x:v>
      </x:c>
      <x:c r="F21" s="8" t="str">
        <x:v>CommandReceipt</x:v>
      </x:c>
      <x:c r="G21" s="8" t="str">
        <x:v>If-Match required</x:v>
      </x:c>
      <x:c r="H21" s="8" t="str">
        <x:v>AI</x:v>
      </x:c>
      <x:c r="I21" s="8" t="str">
        <x:v>Request provider cancellation with actual outcome tracking</x:v>
      </x:c>
    </x:row>
    <x:row r="22" ht="30" customHeight="1">
      <x:c r="A22" s="7" t="str">
        <x:v>API017</x:v>
      </x:c>
      <x:c r="B22" s="7" t="str">
        <x:v>registerCapability</x:v>
      </x:c>
      <x:c r="C22" s="7" t="str">
        <x:v>POST</x:v>
      </x:c>
      <x:c r="D22" s="7" t="str">
        <x:v>/v1/capabilities</x:v>
      </x:c>
      <x:c r="E22" s="7" t="str">
        <x:v>registerCapabilityInput</x:v>
      </x:c>
      <x:c r="F22" s="7" t="str">
        <x:v>CommandReceipt</x:v>
      </x:c>
      <x:c r="G22" s="7" t="str">
        <x:v>Not applicable</x:v>
      </x:c>
      <x:c r="H22" s="7" t="str">
        <x:v>AI</x:v>
      </x:c>
      <x:c r="I22" s="7" t="str">
        <x:v>Register a non-active capability version</x:v>
      </x:c>
    </x:row>
    <x:row r="23" ht="30" customHeight="1">
      <x:c r="A23" s="8" t="str">
        <x:v>API018</x:v>
      </x:c>
      <x:c r="B23" s="8" t="str">
        <x:v>transitionCapability</x:v>
      </x:c>
      <x:c r="C23" s="8" t="str">
        <x:v>POST</x:v>
      </x:c>
      <x:c r="D23" s="8" t="str">
        <x:v>/v1/capabilities/{id}/transition</x:v>
      </x:c>
      <x:c r="E23" s="8" t="str">
        <x:v>transitionCapabilityInput</x:v>
      </x:c>
      <x:c r="F23" s="8" t="str">
        <x:v>CommandReceipt</x:v>
      </x:c>
      <x:c r="G23" s="8" t="str">
        <x:v>If-Match required</x:v>
      </x:c>
      <x:c r="H23" s="8" t="str">
        <x:v>AI</x:v>
      </x:c>
      <x:c r="I23" s="8" t="str">
        <x:v>Review activate suspend or retire a pinned capability</x:v>
      </x:c>
    </x:row>
    <x:row r="24" ht="30" customHeight="1">
      <x:c r="A24" s="7" t="str">
        <x:v>API019</x:v>
      </x:c>
      <x:c r="B24" s="7" t="str">
        <x:v>prepareSubmission</x:v>
      </x:c>
      <x:c r="C24" s="7" t="str">
        <x:v>POST</x:v>
      </x:c>
      <x:c r="D24" s="7" t="str">
        <x:v>/v1/submissions</x:v>
      </x:c>
      <x:c r="E24" s="7" t="str">
        <x:v>prepareSubmissionInput</x:v>
      </x:c>
      <x:c r="F24" s="7" t="str">
        <x:v>CommandReceipt</x:v>
      </x:c>
      <x:c r="G24" s="7" t="str">
        <x:v>Not applicable</x:v>
      </x:c>
      <x:c r="H24" s="7" t="str">
        <x:v>INT</x:v>
      </x:c>
      <x:c r="I24" s="7" t="str">
        <x:v>Prepare a validated minimal destination payload</x:v>
      </x:c>
    </x:row>
    <x:row r="25" ht="30" customHeight="1">
      <x:c r="A25" s="8" t="str">
        <x:v>API020</x:v>
      </x:c>
      <x:c r="B25" s="8" t="str">
        <x:v>dispatchSubmission</x:v>
      </x:c>
      <x:c r="C25" s="8" t="str">
        <x:v>POST</x:v>
      </x:c>
      <x:c r="D25" s="8" t="str">
        <x:v>/v1/submissions/{id}/dispatch</x:v>
      </x:c>
      <x:c r="E25" s="8" t="str">
        <x:v>dispatchSubmissionInput</x:v>
      </x:c>
      <x:c r="F25" s="8" t="str">
        <x:v>CommandReceipt</x:v>
      </x:c>
      <x:c r="G25" s="8" t="str">
        <x:v>If-Match required</x:v>
      </x:c>
      <x:c r="H25" s="8" t="str">
        <x:v>INT</x:v>
      </x:c>
      <x:c r="I25" s="8" t="str">
        <x:v>Queue one destination action after revalidation</x:v>
      </x:c>
    </x:row>
    <x:row r="26" ht="30" customHeight="1">
      <x:c r="A26" s="7" t="str">
        <x:v>API021</x:v>
      </x:c>
      <x:c r="B26" s="7" t="str">
        <x:v>reconcileSubmission</x:v>
      </x:c>
      <x:c r="C26" s="7" t="str">
        <x:v>POST</x:v>
      </x:c>
      <x:c r="D26" s="7" t="str">
        <x:v>/v1/submissions/{id}/reconcile</x:v>
      </x:c>
      <x:c r="E26" s="7" t="str">
        <x:v>reconcileSubmissionInput</x:v>
      </x:c>
      <x:c r="F26" s="7" t="str">
        <x:v>CommandReceipt</x:v>
      </x:c>
      <x:c r="G26" s="7" t="str">
        <x:v>If-Match required</x:v>
      </x:c>
      <x:c r="H26" s="7" t="str">
        <x:v>INT</x:v>
      </x:c>
      <x:c r="I26" s="7" t="str">
        <x:v>Look up uncertain external state before considering retry</x:v>
      </x:c>
    </x:row>
    <x:row r="27" ht="30" customHeight="1">
      <x:c r="A27" s="8" t="str">
        <x:v>API022</x:v>
      </x:c>
      <x:c r="B27" s="8" t="str">
        <x:v>createReferral</x:v>
      </x:c>
      <x:c r="C27" s="8" t="str">
        <x:v>POST</x:v>
      </x:c>
      <x:c r="D27" s="8" t="str">
        <x:v>/v1/referrals</x:v>
      </x:c>
      <x:c r="E27" s="8" t="str">
        <x:v>createReferralInput</x:v>
      </x:c>
      <x:c r="F27" s="8" t="str">
        <x:v>CommandReceipt</x:v>
      </x:c>
      <x:c r="G27" s="8" t="str">
        <x:v>Not applicable</x:v>
      </x:c>
      <x:c r="H27" s="8" t="str">
        <x:v>CARE</x:v>
      </x:c>
      <x:c r="I27" s="8" t="str">
        <x:v>Prepare a referral with accountable ownership</x:v>
      </x:c>
    </x:row>
    <x:row r="28" ht="30" customHeight="1">
      <x:c r="A28" s="7" t="str">
        <x:v>API023</x:v>
      </x:c>
      <x:c r="B28" s="7" t="str">
        <x:v>transitionReferral</x:v>
      </x:c>
      <x:c r="C28" s="7" t="str">
        <x:v>POST</x:v>
      </x:c>
      <x:c r="D28" s="7" t="str">
        <x:v>/v1/referrals/{id}/transition</x:v>
      </x:c>
      <x:c r="E28" s="7" t="str">
        <x:v>transitionReferralInput</x:v>
      </x:c>
      <x:c r="F28" s="7" t="str">
        <x:v>CommandReceipt</x:v>
      </x:c>
      <x:c r="G28" s="7" t="str">
        <x:v>If-Match required</x:v>
      </x:c>
      <x:c r="H28" s="7" t="str">
        <x:v>CARE</x:v>
      </x:c>
      <x:c r="I28" s="7" t="str">
        <x:v>Record an evidence-backed referral state change</x:v>
      </x:c>
    </x:row>
    <x:row r="29" ht="30" customHeight="1">
      <x:c r="A29" s="8" t="str">
        <x:v>API024</x:v>
      </x:c>
      <x:c r="B29" s="8" t="str">
        <x:v>assignTask</x:v>
      </x:c>
      <x:c r="C29" s="8" t="str">
        <x:v>POST</x:v>
      </x:c>
      <x:c r="D29" s="8" t="str">
        <x:v>/v1/tasks/{id}/assign</x:v>
      </x:c>
      <x:c r="E29" s="8" t="str">
        <x:v>assignTaskInput</x:v>
      </x:c>
      <x:c r="F29" s="8" t="str">
        <x:v>CommandReceipt</x:v>
      </x:c>
      <x:c r="G29" s="8" t="str">
        <x:v>If-Match required</x:v>
      </x:c>
      <x:c r="H29" s="8" t="str">
        <x:v>CARE</x:v>
      </x:c>
      <x:c r="I29" s="8" t="str">
        <x:v>Transfer task responsibility</x:v>
      </x:c>
    </x:row>
    <x:row r="30" ht="30" customHeight="1">
      <x:c r="A30" s="7" t="str">
        <x:v>API025</x:v>
      </x:c>
      <x:c r="B30" s="7" t="str">
        <x:v>completeTask</x:v>
      </x:c>
      <x:c r="C30" s="7" t="str">
        <x:v>POST</x:v>
      </x:c>
      <x:c r="D30" s="7" t="str">
        <x:v>/v1/tasks/{id}/complete</x:v>
      </x:c>
      <x:c r="E30" s="7" t="str">
        <x:v>completeTaskInput</x:v>
      </x:c>
      <x:c r="F30" s="7" t="str">
        <x:v>CommandReceipt</x:v>
      </x:c>
      <x:c r="G30" s="7" t="str">
        <x:v>If-Match required</x:v>
      </x:c>
      <x:c r="H30" s="7" t="str">
        <x:v>CARE</x:v>
      </x:c>
      <x:c r="I30" s="7" t="str">
        <x:v>Complete a task using authorised outcome evidence</x:v>
      </x:c>
    </x:row>
    <x:row r="31" ht="30" customHeight="1">
      <x:c r="A31" s="8" t="str">
        <x:v>API026</x:v>
      </x:c>
      <x:c r="B31" s="8" t="str">
        <x:v>requestExchange</x:v>
      </x:c>
      <x:c r="C31" s="8" t="str">
        <x:v>POST</x:v>
      </x:c>
      <x:c r="D31" s="8" t="str">
        <x:v>/v1/exchanges</x:v>
      </x:c>
      <x:c r="E31" s="8" t="str">
        <x:v>requestExchangeInput</x:v>
      </x:c>
      <x:c r="F31" s="8" t="str">
        <x:v>CommandReceipt</x:v>
      </x:c>
      <x:c r="G31" s="8" t="str">
        <x:v>Not applicable</x:v>
      </x:c>
      <x:c r="H31" s="8" t="str">
        <x:v>INT</x:v>
      </x:c>
      <x:c r="I31" s="8" t="str">
        <x:v>Request an authorised ABDM exchange through its adapter</x:v>
      </x:c>
    </x:row>
    <x:row r="32" ht="30" customHeight="1">
      <x:c r="A32" s="7" t="str">
        <x:v>API027</x:v>
      </x:c>
      <x:c r="B32" s="7" t="str">
        <x:v>createLease</x:v>
      </x:c>
      <x:c r="C32" s="7" t="str">
        <x:v>POST</x:v>
      </x:c>
      <x:c r="D32" s="7" t="str">
        <x:v>/v1/offline-leases</x:v>
      </x:c>
      <x:c r="E32" s="7" t="str">
        <x:v>createLeaseInput</x:v>
      </x:c>
      <x:c r="F32" s="7" t="str">
        <x:v>CommandReceipt</x:v>
      </x:c>
      <x:c r="G32" s="7" t="str">
        <x:v>Not applicable</x:v>
      </x:c>
      <x:c r="H32" s="7" t="str">
        <x:v>OFF</x:v>
      </x:c>
      <x:c r="I32" s="7" t="str">
        <x:v>Issue a server-scoped signed offline lease</x:v>
      </x:c>
    </x:row>
    <x:row r="33" ht="30" customHeight="1">
      <x:c r="A33" s="8" t="str">
        <x:v>API028</x:v>
      </x:c>
      <x:c r="B33" s="8" t="str">
        <x:v>syncBatch</x:v>
      </x:c>
      <x:c r="C33" s="8" t="str">
        <x:v>POST</x:v>
      </x:c>
      <x:c r="D33" s="8" t="str">
        <x:v>/v1/sync-batches</x:v>
      </x:c>
      <x:c r="E33" s="8" t="str">
        <x:v>syncBatchInput</x:v>
      </x:c>
      <x:c r="F33" s="8" t="str">
        <x:v>SyncResult</x:v>
      </x:c>
      <x:c r="G33" s="8" t="str">
        <x:v>Not applicable</x:v>
      </x:c>
      <x:c r="H33" s="8" t="str">
        <x:v>OFF</x:v>
      </x:c>
      <x:c r="I33" s="8" t="str">
        <x:v>Ingest ordered offline commands with per-item receipts</x:v>
      </x:c>
    </x:row>
    <x:row r="34" ht="30" customHeight="1">
      <x:c r="A34" s="7" t="str">
        <x:v>API029</x:v>
      </x:c>
      <x:c r="B34" s="7" t="str">
        <x:v>reserveMedia</x:v>
      </x:c>
      <x:c r="C34" s="7" t="str">
        <x:v>POST</x:v>
      </x:c>
      <x:c r="D34" s="7" t="str">
        <x:v>/v1/media</x:v>
      </x:c>
      <x:c r="E34" s="7" t="str">
        <x:v>reserveMediaInput</x:v>
      </x:c>
      <x:c r="F34" s="7" t="str">
        <x:v>UploadTicket</x:v>
      </x:c>
      <x:c r="G34" s="7" t="str">
        <x:v>Not applicable</x:v>
      </x:c>
      <x:c r="H34" s="7" t="str">
        <x:v>DATA</x:v>
      </x:c>
      <x:c r="I34" s="7" t="str">
        <x:v>Reserve a scoped upload target</x:v>
      </x:c>
    </x:row>
    <x:row r="35" ht="30" customHeight="1">
      <x:c r="A35" s="8" t="str">
        <x:v>API030</x:v>
      </x:c>
      <x:c r="B35" s="8" t="str">
        <x:v>completeMedia</x:v>
      </x:c>
      <x:c r="C35" s="8" t="str">
        <x:v>POST</x:v>
      </x:c>
      <x:c r="D35" s="8" t="str">
        <x:v>/v1/media/{id}/complete</x:v>
      </x:c>
      <x:c r="E35" s="8" t="str">
        <x:v>completeMediaInput</x:v>
      </x:c>
      <x:c r="F35" s="8" t="str">
        <x:v>CommandReceipt</x:v>
      </x:c>
      <x:c r="G35" s="8" t="str">
        <x:v>If-Match required</x:v>
      </x:c>
      <x:c r="H35" s="8" t="str">
        <x:v>DATA</x:v>
      </x:c>
      <x:c r="I35" s="8" t="str">
        <x:v>Verify upload and queue scan and quality checks</x:v>
      </x:c>
    </x:row>
    <x:row r="36" ht="30" customHeight="1">
      <x:c r="A36" s="7" t="str">
        <x:v>API031</x:v>
      </x:c>
      <x:c r="B36" s="7" t="str">
        <x:v>openSafetyCase</x:v>
      </x:c>
      <x:c r="C36" s="7" t="str">
        <x:v>POST</x:v>
      </x:c>
      <x:c r="D36" s="7" t="str">
        <x:v>/v1/safety-cases</x:v>
      </x:c>
      <x:c r="E36" s="7" t="str">
        <x:v>openSafetyCaseInput</x:v>
      </x:c>
      <x:c r="F36" s="7" t="str">
        <x:v>CommandReceipt</x:v>
      </x:c>
      <x:c r="G36" s="7" t="str">
        <x:v>Not applicable</x:v>
      </x:c>
      <x:c r="H36" s="7" t="str">
        <x:v>CLIN</x:v>
      </x:c>
      <x:c r="I36" s="7" t="str">
        <x:v>Record a safety or privacy incident</x:v>
      </x:c>
    </x:row>
    <x:row r="37" ht="30" customHeight="1">
      <x:c r="A37" s="8" t="str">
        <x:v>API032</x:v>
      </x:c>
      <x:c r="B37" s="8" t="str">
        <x:v>requestExport</x:v>
      </x:c>
      <x:c r="C37" s="8" t="str">
        <x:v>POST</x:v>
      </x:c>
      <x:c r="D37" s="8" t="str">
        <x:v>/v1/exports</x:v>
      </x:c>
      <x:c r="E37" s="8" t="str">
        <x:v>requestExportInput</x:v>
      </x:c>
      <x:c r="F37" s="8" t="str">
        <x:v>CommandReceipt</x:v>
      </x:c>
      <x:c r="G37" s="8" t="str">
        <x:v>Not applicable</x:v>
      </x:c>
      <x:c r="H37" s="8" t="str">
        <x:v>REP</x:v>
      </x:c>
      <x:c r="I37" s="8" t="str">
        <x:v>Request a scoped expiring export</x:v>
      </x:c>
    </x:row>
    <x:row r="38" ht="30" customHeight="1">
      <x:c r="A38" s="7" t="str">
        <x:v>API033</x:v>
      </x:c>
      <x:c r="B38" s="7" t="str">
        <x:v>createSupportCase</x:v>
      </x:c>
      <x:c r="C38" s="7" t="str">
        <x:v>POST</x:v>
      </x:c>
      <x:c r="D38" s="7" t="str">
        <x:v>/v1/support-cases</x:v>
      </x:c>
      <x:c r="E38" s="7" t="str">
        <x:v>createSupportCaseInput</x:v>
      </x:c>
      <x:c r="F38" s="7" t="str">
        <x:v>CommandReceipt</x:v>
      </x:c>
      <x:c r="G38" s="7" t="str">
        <x:v>Not applicable</x:v>
      </x:c>
      <x:c r="H38" s="7" t="str">
        <x:v>OPS</x:v>
      </x:c>
      <x:c r="I38" s="7" t="str">
        <x:v>Open a case with redacted diagnostics</x:v>
      </x:c>
    </x:row>
    <x:row r="39" ht="30" customHeight="1">
      <x:c r="A39" s="8" t="str">
        <x:v>API034</x:v>
      </x:c>
      <x:c r="B39" s="8" t="str">
        <x:v>publishPack</x:v>
      </x:c>
      <x:c r="C39" s="8" t="str">
        <x:v>POST</x:v>
      </x:c>
      <x:c r="D39" s="8" t="str">
        <x:v>/v1/programme-packs/{id}/publish</x:v>
      </x:c>
      <x:c r="E39" s="8" t="str">
        <x:v>publishPackInput</x:v>
      </x:c>
      <x:c r="F39" s="8" t="str">
        <x:v>CommandReceipt</x:v>
      </x:c>
      <x:c r="G39" s="8" t="str">
        <x:v>If-Match required</x:v>
      </x:c>
      <x:c r="H39" s="8" t="str">
        <x:v>PROG</x:v>
      </x:c>
      <x:c r="I39" s="8" t="str">
        <x:v>Activate a reviewed programme version</x:v>
      </x:c>
    </x:row>
    <x:row r="40" ht="30" customHeight="1">
      <x:c r="A40" s="7" t="str">
        <x:v>API035</x:v>
      </x:c>
      <x:c r="B40" s="7" t="str">
        <x:v>publishConfiguration</x:v>
      </x:c>
      <x:c r="C40" s="7" t="str">
        <x:v>POST</x:v>
      </x:c>
      <x:c r="D40" s="7" t="str">
        <x:v>/v1/deployment-configs/{id}/publish</x:v>
      </x:c>
      <x:c r="E40" s="7" t="str">
        <x:v>publishConfigurationInput</x:v>
      </x:c>
      <x:c r="F40" s="7" t="str">
        <x:v>CommandReceipt</x:v>
      </x:c>
      <x:c r="G40" s="7" t="str">
        <x:v>If-Match required</x:v>
      </x:c>
      <x:c r="H40" s="7" t="str">
        <x:v>OPS</x:v>
      </x:c>
      <x:c r="I40" s="7" t="str">
        <x:v>Activate a compatible reviewed deployment configuration</x:v>
      </x:c>
    </x:row>
    <x:row r="41" ht="30" customHeight="1">
      <x:c r="A41" s="8" t="str">
        <x:v>API036</x:v>
      </x:c>
      <x:c r="B41" s="8" t="str">
        <x:v>listPersons</x:v>
      </x:c>
      <x:c r="C41" s="8" t="str">
        <x:v>GET</x:v>
      </x:c>
      <x:c r="D41" s="8" t="str">
        <x:v>/v1/persons</x:v>
      </x:c>
      <x:c r="E41" s="8" t="str"/>
      <x:c r="F41" s="8" t="str">
        <x:v>PersonList</x:v>
      </x:c>
      <x:c r="G41" s="8" t="str">
        <x:v>Not applicable</x:v>
      </x:c>
      <x:c r="H41" s="8" t="str">
        <x:v>ID</x:v>
      </x:c>
      <x:c r="I41" s="8" t="str">
        <x:v>Policy-scoped read; cursor is opaque and tenant-bound</x:v>
      </x:c>
    </x:row>
    <x:row r="42" ht="30" customHeight="1">
      <x:c r="A42" s="7" t="str">
        <x:v>API037</x:v>
      </x:c>
      <x:c r="B42" s="7" t="str">
        <x:v>getPerson</x:v>
      </x:c>
      <x:c r="C42" s="7" t="str">
        <x:v>GET</x:v>
      </x:c>
      <x:c r="D42" s="7" t="str">
        <x:v>/v1/persons/{id}</x:v>
      </x:c>
      <x:c r="E42" s="7" t="str"/>
      <x:c r="F42" s="7" t="str">
        <x:v>Person</x:v>
      </x:c>
      <x:c r="G42" s="7" t="str">
        <x:v>Not applicable</x:v>
      </x:c>
      <x:c r="H42" s="7" t="str">
        <x:v>ID</x:v>
      </x:c>
      <x:c r="I42" s="7" t="str">
        <x:v>Policy-scoped read; cursor is opaque and tenant-bound</x:v>
      </x:c>
    </x:row>
    <x:row r="43" ht="30" customHeight="1">
      <x:c r="A43" s="8" t="str">
        <x:v>API038</x:v>
      </x:c>
      <x:c r="B43" s="8" t="str">
        <x:v>listEncounters</x:v>
      </x:c>
      <x:c r="C43" s="8" t="str">
        <x:v>GET</x:v>
      </x:c>
      <x:c r="D43" s="8" t="str">
        <x:v>/v1/encounters</x:v>
      </x:c>
      <x:c r="E43" s="8" t="str"/>
      <x:c r="F43" s="8" t="str">
        <x:v>EncounterList</x:v>
      </x:c>
      <x:c r="G43" s="8" t="str">
        <x:v>Not applicable</x:v>
      </x:c>
      <x:c r="H43" s="8" t="str">
        <x:v>UX</x:v>
      </x:c>
      <x:c r="I43" s="8" t="str">
        <x:v>Policy-scoped read; cursor is opaque and tenant-bound</x:v>
      </x:c>
    </x:row>
    <x:row r="44" ht="30" customHeight="1">
      <x:c r="A44" s="7" t="str">
        <x:v>API039</x:v>
      </x:c>
      <x:c r="B44" s="7" t="str">
        <x:v>getEncounter</x:v>
      </x:c>
      <x:c r="C44" s="7" t="str">
        <x:v>GET</x:v>
      </x:c>
      <x:c r="D44" s="7" t="str">
        <x:v>/v1/encounters/{id}</x:v>
      </x:c>
      <x:c r="E44" s="7" t="str"/>
      <x:c r="F44" s="7" t="str">
        <x:v>Encounter</x:v>
      </x:c>
      <x:c r="G44" s="7" t="str">
        <x:v>Not applicable</x:v>
      </x:c>
      <x:c r="H44" s="7" t="str">
        <x:v>UX</x:v>
      </x:c>
      <x:c r="I44" s="7" t="str">
        <x:v>Policy-scoped read; cursor is opaque and tenant-bound</x:v>
      </x:c>
    </x:row>
    <x:row r="45" ht="30" customHeight="1">
      <x:c r="A45" s="8" t="str">
        <x:v>API040</x:v>
      </x:c>
      <x:c r="B45" s="8" t="str">
        <x:v>listObservations</x:v>
      </x:c>
      <x:c r="C45" s="8" t="str">
        <x:v>GET</x:v>
      </x:c>
      <x:c r="D45" s="8" t="str">
        <x:v>/v1/observations</x:v>
      </x:c>
      <x:c r="E45" s="8" t="str"/>
      <x:c r="F45" s="8" t="str">
        <x:v>ObservationList</x:v>
      </x:c>
      <x:c r="G45" s="8" t="str">
        <x:v>Not applicable</x:v>
      </x:c>
      <x:c r="H45" s="8" t="str">
        <x:v>DATA</x:v>
      </x:c>
      <x:c r="I45" s="8" t="str">
        <x:v>Policy-scoped read; cursor is opaque and tenant-bound</x:v>
      </x:c>
    </x:row>
    <x:row r="46" ht="30" customHeight="1">
      <x:c r="A46" s="7" t="str">
        <x:v>API041</x:v>
      </x:c>
      <x:c r="B46" s="7" t="str">
        <x:v>getObservation</x:v>
      </x:c>
      <x:c r="C46" s="7" t="str">
        <x:v>GET</x:v>
      </x:c>
      <x:c r="D46" s="7" t="str">
        <x:v>/v1/observations/{id}</x:v>
      </x:c>
      <x:c r="E46" s="7" t="str"/>
      <x:c r="F46" s="7" t="str">
        <x:v>Observation</x:v>
      </x:c>
      <x:c r="G46" s="7" t="str">
        <x:v>Not applicable</x:v>
      </x:c>
      <x:c r="H46" s="7" t="str">
        <x:v>DATA</x:v>
      </x:c>
      <x:c r="I46" s="7" t="str">
        <x:v>Policy-scoped read; cursor is opaque and tenant-bound</x:v>
      </x:c>
    </x:row>
    <x:row r="47" ht="30" customHeight="1">
      <x:c r="A47" s="8" t="str">
        <x:v>API042</x:v>
      </x:c>
      <x:c r="B47" s="8" t="str">
        <x:v>listConflicts</x:v>
      </x:c>
      <x:c r="C47" s="8" t="str">
        <x:v>GET</x:v>
      </x:c>
      <x:c r="D47" s="8" t="str">
        <x:v>/v1/conflicts</x:v>
      </x:c>
      <x:c r="E47" s="8" t="str"/>
      <x:c r="F47" s="8" t="str">
        <x:v>ConflictList</x:v>
      </x:c>
      <x:c r="G47" s="8" t="str">
        <x:v>Not applicable</x:v>
      </x:c>
      <x:c r="H47" s="8" t="str">
        <x:v>DATA</x:v>
      </x:c>
      <x:c r="I47" s="8" t="str">
        <x:v>Policy-scoped read; cursor is opaque and tenant-bound</x:v>
      </x:c>
    </x:row>
    <x:row r="48" ht="30" customHeight="1">
      <x:c r="A48" s="7" t="str">
        <x:v>API043</x:v>
      </x:c>
      <x:c r="B48" s="7" t="str">
        <x:v>getConflict</x:v>
      </x:c>
      <x:c r="C48" s="7" t="str">
        <x:v>GET</x:v>
      </x:c>
      <x:c r="D48" s="7" t="str">
        <x:v>/v1/conflicts/{id}</x:v>
      </x:c>
      <x:c r="E48" s="7" t="str"/>
      <x:c r="F48" s="7" t="str">
        <x:v>Conflict</x:v>
      </x:c>
      <x:c r="G48" s="7" t="str">
        <x:v>Not applicable</x:v>
      </x:c>
      <x:c r="H48" s="7" t="str">
        <x:v>DATA</x:v>
      </x:c>
      <x:c r="I48" s="7" t="str">
        <x:v>Policy-scoped read; cursor is opaque and tenant-bound</x:v>
      </x:c>
    </x:row>
    <x:row r="49" ht="30" customHeight="1">
      <x:c r="A49" s="8" t="str">
        <x:v>API044</x:v>
      </x:c>
      <x:c r="B49" s="8" t="str">
        <x:v>listAuthorityRecords</x:v>
      </x:c>
      <x:c r="C49" s="8" t="str">
        <x:v>GET</x:v>
      </x:c>
      <x:c r="D49" s="8" t="str">
        <x:v>/v1/authorities</x:v>
      </x:c>
      <x:c r="E49" s="8" t="str"/>
      <x:c r="F49" s="8" t="str">
        <x:v>AuthorityRecordList</x:v>
      </x:c>
      <x:c r="G49" s="8" t="str">
        <x:v>Not applicable</x:v>
      </x:c>
      <x:c r="H49" s="8" t="str">
        <x:v>SEC</x:v>
      </x:c>
      <x:c r="I49" s="8" t="str">
        <x:v>Policy-scoped read; cursor is opaque and tenant-bound</x:v>
      </x:c>
    </x:row>
    <x:row r="50" ht="30" customHeight="1">
      <x:c r="A50" s="7" t="str">
        <x:v>API045</x:v>
      </x:c>
      <x:c r="B50" s="7" t="str">
        <x:v>getAuthorityRecord</x:v>
      </x:c>
      <x:c r="C50" s="7" t="str">
        <x:v>GET</x:v>
      </x:c>
      <x:c r="D50" s="7" t="str">
        <x:v>/v1/authorities/{id}</x:v>
      </x:c>
      <x:c r="E50" s="7" t="str"/>
      <x:c r="F50" s="7" t="str">
        <x:v>AuthorityRecord</x:v>
      </x:c>
      <x:c r="G50" s="7" t="str">
        <x:v>Not applicable</x:v>
      </x:c>
      <x:c r="H50" s="7" t="str">
        <x:v>SEC</x:v>
      </x:c>
      <x:c r="I50" s="7" t="str">
        <x:v>Policy-scoped read; cursor is opaque and tenant-bound</x:v>
      </x:c>
    </x:row>
    <x:row r="51" ht="30" customHeight="1">
      <x:c r="A51" s="8" t="str">
        <x:v>API046</x:v>
      </x:c>
      <x:c r="B51" s="8" t="str">
        <x:v>listAgentPlans</x:v>
      </x:c>
      <x:c r="C51" s="8" t="str">
        <x:v>GET</x:v>
      </x:c>
      <x:c r="D51" s="8" t="str">
        <x:v>/v1/plans</x:v>
      </x:c>
      <x:c r="E51" s="8" t="str"/>
      <x:c r="F51" s="8" t="str">
        <x:v>AgentPlanList</x:v>
      </x:c>
      <x:c r="G51" s="8" t="str">
        <x:v>Not applicable</x:v>
      </x:c>
      <x:c r="H51" s="8" t="str">
        <x:v>AG</x:v>
      </x:c>
      <x:c r="I51" s="8" t="str">
        <x:v>Policy-scoped read; cursor is opaque and tenant-bound</x:v>
      </x:c>
    </x:row>
    <x:row r="52" ht="30" customHeight="1">
      <x:c r="A52" s="7" t="str">
        <x:v>API047</x:v>
      </x:c>
      <x:c r="B52" s="7" t="str">
        <x:v>getAgentPlan</x:v>
      </x:c>
      <x:c r="C52" s="7" t="str">
        <x:v>GET</x:v>
      </x:c>
      <x:c r="D52" s="7" t="str">
        <x:v>/v1/plans/{id}</x:v>
      </x:c>
      <x:c r="E52" s="7" t="str"/>
      <x:c r="F52" s="7" t="str">
        <x:v>AgentPlan</x:v>
      </x:c>
      <x:c r="G52" s="7" t="str">
        <x:v>Not applicable</x:v>
      </x:c>
      <x:c r="H52" s="7" t="str">
        <x:v>AG</x:v>
      </x:c>
      <x:c r="I52" s="7" t="str">
        <x:v>Policy-scoped read; cursor is opaque and tenant-bound</x:v>
      </x:c>
    </x:row>
    <x:row r="53" ht="30" customHeight="1">
      <x:c r="A53" s="8" t="str">
        <x:v>API048</x:v>
      </x:c>
      <x:c r="B53" s="8" t="str">
        <x:v>listAIRequests</x:v>
      </x:c>
      <x:c r="C53" s="8" t="str">
        <x:v>GET</x:v>
      </x:c>
      <x:c r="D53" s="8" t="str">
        <x:v>/v1/ai-requests</x:v>
      </x:c>
      <x:c r="E53" s="8" t="str"/>
      <x:c r="F53" s="8" t="str">
        <x:v>AIRequestList</x:v>
      </x:c>
      <x:c r="G53" s="8" t="str">
        <x:v>Not applicable</x:v>
      </x:c>
      <x:c r="H53" s="8" t="str">
        <x:v>AI</x:v>
      </x:c>
      <x:c r="I53" s="8" t="str">
        <x:v>Policy-scoped read; cursor is opaque and tenant-bound</x:v>
      </x:c>
    </x:row>
    <x:row r="54" ht="30" customHeight="1">
      <x:c r="A54" s="7" t="str">
        <x:v>API049</x:v>
      </x:c>
      <x:c r="B54" s="7" t="str">
        <x:v>getAIRequest</x:v>
      </x:c>
      <x:c r="C54" s="7" t="str">
        <x:v>GET</x:v>
      </x:c>
      <x:c r="D54" s="7" t="str">
        <x:v>/v1/ai-requests/{id}</x:v>
      </x:c>
      <x:c r="E54" s="7" t="str"/>
      <x:c r="F54" s="7" t="str">
        <x:v>AIRequest</x:v>
      </x:c>
      <x:c r="G54" s="7" t="str">
        <x:v>Not applicable</x:v>
      </x:c>
      <x:c r="H54" s="7" t="str">
        <x:v>AI</x:v>
      </x:c>
      <x:c r="I54" s="7" t="str">
        <x:v>Policy-scoped read; cursor is opaque and tenant-bound</x:v>
      </x:c>
    </x:row>
    <x:row r="55" ht="30" customHeight="1">
      <x:c r="A55" s="8" t="str">
        <x:v>API050</x:v>
      </x:c>
      <x:c r="B55" s="8" t="str">
        <x:v>listProviderCapabilitys</x:v>
      </x:c>
      <x:c r="C55" s="8" t="str">
        <x:v>GET</x:v>
      </x:c>
      <x:c r="D55" s="8" t="str">
        <x:v>/v1/capabilities</x:v>
      </x:c>
      <x:c r="E55" s="8" t="str"/>
      <x:c r="F55" s="8" t="str">
        <x:v>ProviderCapabilityList</x:v>
      </x:c>
      <x:c r="G55" s="8" t="str">
        <x:v>Not applicable</x:v>
      </x:c>
      <x:c r="H55" s="8" t="str">
        <x:v>AI</x:v>
      </x:c>
      <x:c r="I55" s="8" t="str">
        <x:v>Policy-scoped read; cursor is opaque and tenant-bound</x:v>
      </x:c>
    </x:row>
    <x:row r="56" ht="30" customHeight="1">
      <x:c r="A56" s="7" t="str">
        <x:v>API051</x:v>
      </x:c>
      <x:c r="B56" s="7" t="str">
        <x:v>getProviderCapability</x:v>
      </x:c>
      <x:c r="C56" s="7" t="str">
        <x:v>GET</x:v>
      </x:c>
      <x:c r="D56" s="7" t="str">
        <x:v>/v1/capabilities/{id}</x:v>
      </x:c>
      <x:c r="E56" s="7" t="str"/>
      <x:c r="F56" s="7" t="str">
        <x:v>ProviderCapability</x:v>
      </x:c>
      <x:c r="G56" s="7" t="str">
        <x:v>Not applicable</x:v>
      </x:c>
      <x:c r="H56" s="7" t="str">
        <x:v>AI</x:v>
      </x:c>
      <x:c r="I56" s="7" t="str">
        <x:v>Policy-scoped read; cursor is opaque and tenant-bound</x:v>
      </x:c>
    </x:row>
    <x:row r="57" ht="30" customHeight="1">
      <x:c r="A57" s="8" t="str">
        <x:v>API052</x:v>
      </x:c>
      <x:c r="B57" s="8" t="str">
        <x:v>listSubmissions</x:v>
      </x:c>
      <x:c r="C57" s="8" t="str">
        <x:v>GET</x:v>
      </x:c>
      <x:c r="D57" s="8" t="str">
        <x:v>/v1/submissions</x:v>
      </x:c>
      <x:c r="E57" s="8" t="str"/>
      <x:c r="F57" s="8" t="str">
        <x:v>SubmissionList</x:v>
      </x:c>
      <x:c r="G57" s="8" t="str">
        <x:v>Not applicable</x:v>
      </x:c>
      <x:c r="H57" s="8" t="str">
        <x:v>INT</x:v>
      </x:c>
      <x:c r="I57" s="8" t="str">
        <x:v>Policy-scoped read; cursor is opaque and tenant-bound</x:v>
      </x:c>
    </x:row>
    <x:row r="58" ht="30" customHeight="1">
      <x:c r="A58" s="7" t="str">
        <x:v>API053</x:v>
      </x:c>
      <x:c r="B58" s="7" t="str">
        <x:v>getSubmission</x:v>
      </x:c>
      <x:c r="C58" s="7" t="str">
        <x:v>GET</x:v>
      </x:c>
      <x:c r="D58" s="7" t="str">
        <x:v>/v1/submissions/{id}</x:v>
      </x:c>
      <x:c r="E58" s="7" t="str"/>
      <x:c r="F58" s="7" t="str">
        <x:v>Submission</x:v>
      </x:c>
      <x:c r="G58" s="7" t="str">
        <x:v>Not applicable</x:v>
      </x:c>
      <x:c r="H58" s="7" t="str">
        <x:v>INT</x:v>
      </x:c>
      <x:c r="I58" s="7" t="str">
        <x:v>Policy-scoped read; cursor is opaque and tenant-bound</x:v>
      </x:c>
    </x:row>
    <x:row r="59" ht="30" customHeight="1">
      <x:c r="A59" s="8" t="str">
        <x:v>API054</x:v>
      </x:c>
      <x:c r="B59" s="8" t="str">
        <x:v>listConnectors</x:v>
      </x:c>
      <x:c r="C59" s="8" t="str">
        <x:v>GET</x:v>
      </x:c>
      <x:c r="D59" s="8" t="str">
        <x:v>/v1/connectors</x:v>
      </x:c>
      <x:c r="E59" s="8" t="str"/>
      <x:c r="F59" s="8" t="str">
        <x:v>ConnectorList</x:v>
      </x:c>
      <x:c r="G59" s="8" t="str">
        <x:v>Not applicable</x:v>
      </x:c>
      <x:c r="H59" s="8" t="str">
        <x:v>INT</x:v>
      </x:c>
      <x:c r="I59" s="8" t="str">
        <x:v>Policy-scoped read; cursor is opaque and tenant-bound</x:v>
      </x:c>
    </x:row>
    <x:row r="60" ht="30" customHeight="1">
      <x:c r="A60" s="7" t="str">
        <x:v>API055</x:v>
      </x:c>
      <x:c r="B60" s="7" t="str">
        <x:v>getConnector</x:v>
      </x:c>
      <x:c r="C60" s="7" t="str">
        <x:v>GET</x:v>
      </x:c>
      <x:c r="D60" s="7" t="str">
        <x:v>/v1/connectors/{id}</x:v>
      </x:c>
      <x:c r="E60" s="7" t="str"/>
      <x:c r="F60" s="7" t="str">
        <x:v>Connector</x:v>
      </x:c>
      <x:c r="G60" s="7" t="str">
        <x:v>Not applicable</x:v>
      </x:c>
      <x:c r="H60" s="7" t="str">
        <x:v>INT</x:v>
      </x:c>
      <x:c r="I60" s="7" t="str">
        <x:v>Policy-scoped read; cursor is opaque and tenant-bound</x:v>
      </x:c>
    </x:row>
    <x:row r="61" ht="30" customHeight="1">
      <x:c r="A61" s="8" t="str">
        <x:v>API056</x:v>
      </x:c>
      <x:c r="B61" s="8" t="str">
        <x:v>listReferrals</x:v>
      </x:c>
      <x:c r="C61" s="8" t="str">
        <x:v>GET</x:v>
      </x:c>
      <x:c r="D61" s="8" t="str">
        <x:v>/v1/referrals</x:v>
      </x:c>
      <x:c r="E61" s="8" t="str"/>
      <x:c r="F61" s="8" t="str">
        <x:v>ReferralList</x:v>
      </x:c>
      <x:c r="G61" s="8" t="str">
        <x:v>Not applicable</x:v>
      </x:c>
      <x:c r="H61" s="8" t="str">
        <x:v>CARE</x:v>
      </x:c>
      <x:c r="I61" s="8" t="str">
        <x:v>Policy-scoped read; cursor is opaque and tenant-bound</x:v>
      </x:c>
    </x:row>
    <x:row r="62" ht="30" customHeight="1">
      <x:c r="A62" s="7" t="str">
        <x:v>API057</x:v>
      </x:c>
      <x:c r="B62" s="7" t="str">
        <x:v>getReferral</x:v>
      </x:c>
      <x:c r="C62" s="7" t="str">
        <x:v>GET</x:v>
      </x:c>
      <x:c r="D62" s="7" t="str">
        <x:v>/v1/referrals/{id}</x:v>
      </x:c>
      <x:c r="E62" s="7" t="str"/>
      <x:c r="F62" s="7" t="str">
        <x:v>Referral</x:v>
      </x:c>
      <x:c r="G62" s="7" t="str">
        <x:v>Not applicable</x:v>
      </x:c>
      <x:c r="H62" s="7" t="str">
        <x:v>CARE</x:v>
      </x:c>
      <x:c r="I62" s="7" t="str">
        <x:v>Policy-scoped read; cursor is opaque and tenant-bound</x:v>
      </x:c>
    </x:row>
    <x:row r="63" ht="30" customHeight="1">
      <x:c r="A63" s="8" t="str">
        <x:v>API058</x:v>
      </x:c>
      <x:c r="B63" s="8" t="str">
        <x:v>listTasks</x:v>
      </x:c>
      <x:c r="C63" s="8" t="str">
        <x:v>GET</x:v>
      </x:c>
      <x:c r="D63" s="8" t="str">
        <x:v>/v1/tasks</x:v>
      </x:c>
      <x:c r="E63" s="8" t="str"/>
      <x:c r="F63" s="8" t="str">
        <x:v>TaskList</x:v>
      </x:c>
      <x:c r="G63" s="8" t="str">
        <x:v>Not applicable</x:v>
      </x:c>
      <x:c r="H63" s="8" t="str">
        <x:v>CARE</x:v>
      </x:c>
      <x:c r="I63" s="8" t="str">
        <x:v>Policy-scoped read; cursor is opaque and tenant-bound</x:v>
      </x:c>
    </x:row>
    <x:row r="64" ht="30" customHeight="1">
      <x:c r="A64" s="7" t="str">
        <x:v>API059</x:v>
      </x:c>
      <x:c r="B64" s="7" t="str">
        <x:v>getTask</x:v>
      </x:c>
      <x:c r="C64" s="7" t="str">
        <x:v>GET</x:v>
      </x:c>
      <x:c r="D64" s="7" t="str">
        <x:v>/v1/tasks/{id}</x:v>
      </x:c>
      <x:c r="E64" s="7" t="str"/>
      <x:c r="F64" s="7" t="str">
        <x:v>Task</x:v>
      </x:c>
      <x:c r="G64" s="7" t="str">
        <x:v>Not applicable</x:v>
      </x:c>
      <x:c r="H64" s="7" t="str">
        <x:v>CARE</x:v>
      </x:c>
      <x:c r="I64" s="7" t="str">
        <x:v>Policy-scoped read; cursor is opaque and tenant-bound</x:v>
      </x:c>
    </x:row>
    <x:row r="65" ht="30" customHeight="1">
      <x:c r="A65" s="8" t="str">
        <x:v>API060</x:v>
      </x:c>
      <x:c r="B65" s="8" t="str">
        <x:v>listExchanges</x:v>
      </x:c>
      <x:c r="C65" s="8" t="str">
        <x:v>GET</x:v>
      </x:c>
      <x:c r="D65" s="8" t="str">
        <x:v>/v1/exchanges</x:v>
      </x:c>
      <x:c r="E65" s="8" t="str"/>
      <x:c r="F65" s="8" t="str">
        <x:v>ExchangeList</x:v>
      </x:c>
      <x:c r="G65" s="8" t="str">
        <x:v>Not applicable</x:v>
      </x:c>
      <x:c r="H65" s="8" t="str">
        <x:v>INT</x:v>
      </x:c>
      <x:c r="I65" s="8" t="str">
        <x:v>Policy-scoped read; cursor is opaque and tenant-bound</x:v>
      </x:c>
    </x:row>
    <x:row r="66" ht="30" customHeight="1">
      <x:c r="A66" s="7" t="str">
        <x:v>API061</x:v>
      </x:c>
      <x:c r="B66" s="7" t="str">
        <x:v>getExchange</x:v>
      </x:c>
      <x:c r="C66" s="7" t="str">
        <x:v>GET</x:v>
      </x:c>
      <x:c r="D66" s="7" t="str">
        <x:v>/v1/exchanges/{id}</x:v>
      </x:c>
      <x:c r="E66" s="7" t="str"/>
      <x:c r="F66" s="7" t="str">
        <x:v>Exchange</x:v>
      </x:c>
      <x:c r="G66" s="7" t="str">
        <x:v>Not applicable</x:v>
      </x:c>
      <x:c r="H66" s="7" t="str">
        <x:v>INT</x:v>
      </x:c>
      <x:c r="I66" s="7" t="str">
        <x:v>Policy-scoped read; cursor is opaque and tenant-bound</x:v>
      </x:c>
    </x:row>
    <x:row r="67" ht="30" customHeight="1">
      <x:c r="A67" s="8" t="str">
        <x:v>API062</x:v>
      </x:c>
      <x:c r="B67" s="8" t="str">
        <x:v>listSafetyCases</x:v>
      </x:c>
      <x:c r="C67" s="8" t="str">
        <x:v>GET</x:v>
      </x:c>
      <x:c r="D67" s="8" t="str">
        <x:v>/v1/safety-cases</x:v>
      </x:c>
      <x:c r="E67" s="8" t="str"/>
      <x:c r="F67" s="8" t="str">
        <x:v>SafetyCaseList</x:v>
      </x:c>
      <x:c r="G67" s="8" t="str">
        <x:v>Not applicable</x:v>
      </x:c>
      <x:c r="H67" s="8" t="str">
        <x:v>CLIN</x:v>
      </x:c>
      <x:c r="I67" s="8" t="str">
        <x:v>Policy-scoped read; cursor is opaque and tenant-bound</x:v>
      </x:c>
    </x:row>
    <x:row r="68" ht="30" customHeight="1">
      <x:c r="A68" s="7" t="str">
        <x:v>API063</x:v>
      </x:c>
      <x:c r="B68" s="7" t="str">
        <x:v>getSafetyCase</x:v>
      </x:c>
      <x:c r="C68" s="7" t="str">
        <x:v>GET</x:v>
      </x:c>
      <x:c r="D68" s="7" t="str">
        <x:v>/v1/safety-cases/{id}</x:v>
      </x:c>
      <x:c r="E68" s="7" t="str"/>
      <x:c r="F68" s="7" t="str">
        <x:v>SafetyCase</x:v>
      </x:c>
      <x:c r="G68" s="7" t="str">
        <x:v>Not applicable</x:v>
      </x:c>
      <x:c r="H68" s="7" t="str">
        <x:v>CLIN</x:v>
      </x:c>
      <x:c r="I68" s="7" t="str">
        <x:v>Policy-scoped read; cursor is opaque and tenant-bound</x:v>
      </x:c>
    </x:row>
    <x:row r="69" ht="30" customHeight="1">
      <x:c r="A69" s="8" t="str">
        <x:v>API064</x:v>
      </x:c>
      <x:c r="B69" s="8" t="str">
        <x:v>listSupportCases</x:v>
      </x:c>
      <x:c r="C69" s="8" t="str">
        <x:v>GET</x:v>
      </x:c>
      <x:c r="D69" s="8" t="str">
        <x:v>/v1/support-cases</x:v>
      </x:c>
      <x:c r="E69" s="8" t="str"/>
      <x:c r="F69" s="8" t="str">
        <x:v>SupportCaseList</x:v>
      </x:c>
      <x:c r="G69" s="8" t="str">
        <x:v>Not applicable</x:v>
      </x:c>
      <x:c r="H69" s="8" t="str">
        <x:v>OPS</x:v>
      </x:c>
      <x:c r="I69" s="8" t="str">
        <x:v>Policy-scoped read; cursor is opaque and tenant-bound</x:v>
      </x:c>
    </x:row>
    <x:row r="70" ht="30" customHeight="1">
      <x:c r="A70" s="7" t="str">
        <x:v>API065</x:v>
      </x:c>
      <x:c r="B70" s="7" t="str">
        <x:v>getSupportCase</x:v>
      </x:c>
      <x:c r="C70" s="7" t="str">
        <x:v>GET</x:v>
      </x:c>
      <x:c r="D70" s="7" t="str">
        <x:v>/v1/support-cases/{id}</x:v>
      </x:c>
      <x:c r="E70" s="7" t="str"/>
      <x:c r="F70" s="7" t="str">
        <x:v>SupportCase</x:v>
      </x:c>
      <x:c r="G70" s="7" t="str">
        <x:v>Not applicable</x:v>
      </x:c>
      <x:c r="H70" s="7" t="str">
        <x:v>OPS</x:v>
      </x:c>
      <x:c r="I70" s="7" t="str">
        <x:v>Policy-scoped read; cursor is opaque and tenant-bound</x:v>
      </x:c>
    </x:row>
    <x:row r="71" ht="30" customHeight="1">
      <x:c r="A71" s="8" t="str">
        <x:v>API066</x:v>
      </x:c>
      <x:c r="B71" s="8" t="str">
        <x:v>listProgrammePacks</x:v>
      </x:c>
      <x:c r="C71" s="8" t="str">
        <x:v>GET</x:v>
      </x:c>
      <x:c r="D71" s="8" t="str">
        <x:v>/v1/programme-packs</x:v>
      </x:c>
      <x:c r="E71" s="8" t="str"/>
      <x:c r="F71" s="8" t="str">
        <x:v>ProgrammePackList</x:v>
      </x:c>
      <x:c r="G71" s="8" t="str">
        <x:v>Not applicable</x:v>
      </x:c>
      <x:c r="H71" s="8" t="str">
        <x:v>PROG</x:v>
      </x:c>
      <x:c r="I71" s="8" t="str">
        <x:v>Policy-scoped read; cursor is opaque and tenant-bound</x:v>
      </x:c>
    </x:row>
    <x:row r="72" ht="30" customHeight="1">
      <x:c r="A72" s="7" t="str">
        <x:v>API067</x:v>
      </x:c>
      <x:c r="B72" s="7" t="str">
        <x:v>getProgrammePack</x:v>
      </x:c>
      <x:c r="C72" s="7" t="str">
        <x:v>GET</x:v>
      </x:c>
      <x:c r="D72" s="7" t="str">
        <x:v>/v1/programme-packs/{id}</x:v>
      </x:c>
      <x:c r="E72" s="7" t="str"/>
      <x:c r="F72" s="7" t="str">
        <x:v>ProgrammePack</x:v>
      </x:c>
      <x:c r="G72" s="7" t="str">
        <x:v>Not applicable</x:v>
      </x:c>
      <x:c r="H72" s="7" t="str">
        <x:v>PROG</x:v>
      </x:c>
      <x:c r="I72" s="7" t="str">
        <x:v>Policy-scoped read; cursor is opaque and tenant-bound</x:v>
      </x:c>
    </x:row>
    <x:row r="73" ht="30" customHeight="1">
      <x:c r="A73" s="8" t="str">
        <x:v>API068</x:v>
      </x:c>
      <x:c r="B73" s="8" t="str">
        <x:v>listDeploymentConfigs</x:v>
      </x:c>
      <x:c r="C73" s="8" t="str">
        <x:v>GET</x:v>
      </x:c>
      <x:c r="D73" s="8" t="str">
        <x:v>/v1/deployment-configs</x:v>
      </x:c>
      <x:c r="E73" s="8" t="str"/>
      <x:c r="F73" s="8" t="str">
        <x:v>DeploymentConfigList</x:v>
      </x:c>
      <x:c r="G73" s="8" t="str">
        <x:v>Not applicable</x:v>
      </x:c>
      <x:c r="H73" s="8" t="str">
        <x:v>OPS</x:v>
      </x:c>
      <x:c r="I73" s="8" t="str">
        <x:v>Policy-scoped read; cursor is opaque and tenant-bound</x:v>
      </x:c>
    </x:row>
    <x:row r="74" ht="30" customHeight="1">
      <x:c r="A74" s="7" t="str">
        <x:v>API069</x:v>
      </x:c>
      <x:c r="B74" s="7" t="str">
        <x:v>getDeploymentConfig</x:v>
      </x:c>
      <x:c r="C74" s="7" t="str">
        <x:v>GET</x:v>
      </x:c>
      <x:c r="D74" s="7" t="str">
        <x:v>/v1/deployment-configs/{id}</x:v>
      </x:c>
      <x:c r="E74" s="7" t="str"/>
      <x:c r="F74" s="7" t="str">
        <x:v>DeploymentConfig</x:v>
      </x:c>
      <x:c r="G74" s="7" t="str">
        <x:v>Not applicable</x:v>
      </x:c>
      <x:c r="H74" s="7" t="str">
        <x:v>OPS</x:v>
      </x:c>
      <x:c r="I74" s="7" t="str">
        <x:v>Policy-scoped read; cursor is opaque and tenant-bound</x:v>
      </x:c>
    </x:row>
    <x:row r="75" ht="30" customHeight="1">
      <x:c r="A75" s="8" t="str">
        <x:v>API070</x:v>
      </x:c>
      <x:c r="B75" s="8" t="str">
        <x:v>listExportJobs</x:v>
      </x:c>
      <x:c r="C75" s="8" t="str">
        <x:v>GET</x:v>
      </x:c>
      <x:c r="D75" s="8" t="str">
        <x:v>/v1/exports</x:v>
      </x:c>
      <x:c r="E75" s="8" t="str"/>
      <x:c r="F75" s="8" t="str">
        <x:v>ExportJobList</x:v>
      </x:c>
      <x:c r="G75" s="8" t="str">
        <x:v>Not applicable</x:v>
      </x:c>
      <x:c r="H75" s="8" t="str">
        <x:v>REP</x:v>
      </x:c>
      <x:c r="I75" s="8" t="str">
        <x:v>Policy-scoped read; cursor is opaque and tenant-bound</x:v>
      </x:c>
    </x:row>
    <x:row r="76" ht="30" customHeight="1">
      <x:c r="A76" s="7" t="str">
        <x:v>API071</x:v>
      </x:c>
      <x:c r="B76" s="7" t="str">
        <x:v>getExportJob</x:v>
      </x:c>
      <x:c r="C76" s="7" t="str">
        <x:v>GET</x:v>
      </x:c>
      <x:c r="D76" s="7" t="str">
        <x:v>/v1/exports/{id}</x:v>
      </x:c>
      <x:c r="E76" s="7" t="str"/>
      <x:c r="F76" s="7" t="str">
        <x:v>ExportJob</x:v>
      </x:c>
      <x:c r="G76" s="7" t="str">
        <x:v>Not applicable</x:v>
      </x:c>
      <x:c r="H76" s="7" t="str">
        <x:v>REP</x:v>
      </x:c>
      <x:c r="I76" s="7" t="str">
        <x:v>Policy-scoped read; cursor is opaque and tenant-bound</x:v>
      </x:c>
    </x:row>
    <x:row r="77" ht="30" customHeight="1">
      <x:c r="A77" s="8" t="str">
        <x:v>API072</x:v>
      </x:c>
      <x:c r="B77" s="8" t="str">
        <x:v>getSession</x:v>
      </x:c>
      <x:c r="C77" s="8" t="str">
        <x:v>GET</x:v>
      </x:c>
      <x:c r="D77" s="8" t="str">
        <x:v>/v1/me</x:v>
      </x:c>
      <x:c r="E77" s="8" t="str"/>
      <x:c r="F77" s="8" t="str">
        <x:v>Session</x:v>
      </x:c>
      <x:c r="G77" s="8" t="str">
        <x:v>Not applicable</x:v>
      </x:c>
      <x:c r="H77" s="8" t="str">
        <x:v>ID</x:v>
      </x:c>
      <x:c r="I77" s="8" t="str">
        <x:v>Session or policy-scoped projection</x:v>
      </x:c>
    </x:row>
    <x:row r="78" ht="30" customHeight="1">
      <x:c r="A78" s="7" t="str">
        <x:v>API073</x:v>
      </x:c>
      <x:c r="B78" s="7" t="str">
        <x:v>runReport</x:v>
      </x:c>
      <x:c r="C78" s="7" t="str">
        <x:v>GET</x:v>
      </x:c>
      <x:c r="D78" s="7" t="str">
        <x:v>/v1/reports/{id}</x:v>
      </x:c>
      <x:c r="E78" s="7" t="str"/>
      <x:c r="F78" s="7" t="str">
        <x:v>ReportResult</x:v>
      </x:c>
      <x:c r="G78" s="7" t="str">
        <x:v>Not applicable</x:v>
      </x:c>
      <x:c r="H78" s="7" t="str">
        <x:v>REP</x:v>
      </x:c>
      <x:c r="I78" s="7" t="str">
        <x:v>Session or policy-scoped projection</x:v>
      </x:c>
    </x:row>
    <x:row r="79" ht="30" customHeight="1">
      <x:c r="A79" s="8" t="str">
        <x:v>API074</x:v>
      </x:c>
      <x:c r="B79" s="8" t="str">
        <x:v>getExportDownload</x:v>
      </x:c>
      <x:c r="C79" s="8" t="str">
        <x:v>GET</x:v>
      </x:c>
      <x:c r="D79" s="8" t="str">
        <x:v>/v1/exports/{id}/download</x:v>
      </x:c>
      <x:c r="E79" s="8" t="str"/>
      <x:c r="F79" s="8" t="str">
        <x:v>DownloadTicket</x:v>
      </x:c>
      <x:c r="G79" s="8" t="str">
        <x:v>Not applicable</x:v>
      </x:c>
      <x:c r="H79" s="8" t="str">
        <x:v>REP</x:v>
      </x:c>
      <x:c r="I79" s="8" t="str">
        <x:v>Session or policy-scoped projection</x:v>
      </x:c>
    </x:row>
  </x:sheetData>
  <x:mergeCells>
    <x:mergeCell ref="A1:F1"/>
    <x:mergeCell ref="A2:F2"/>
    <x:mergeCell ref="A3:F3"/>
  </x:mergeCells>
  <x:pageMargins left="0.7" right="0.7" top="0.75" bottom="0.75" header="0.3" footer="0.3"/>
  <x:tableParts count="1">
    <x:tablePart xmlns:r="http://schemas.openxmlformats.org/officeDocument/2006/relationships" r:id="R04c295c1fe1b4eb5"/>
  </x:tableParts>
</x:worksheet>
</file>

<file path=xl/worksheets/sheet9.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10" hidden="0" customWidth="1"/>
    <x:col min="2" max="2" width="36.66999816894531" hidden="0" customWidth="1"/>
    <x:col min="3" max="3" width="23.329999923706055" hidden="0" customWidth="1"/>
    <x:col min="4" max="4" width="14.4399995803833" hidden="0" customWidth="1"/>
    <x:col min="5" max="5" width="37.779998779296875" hidden="0" customWidth="1"/>
    <x:col min="6" max="6" width="38.88999938964844" hidden="0" customWidth="1"/>
  </x:cols>
  <x:sheetData>
    <x:row r="1" ht="28.5" customHeight="1">
      <x:c r="A1" s="4" t="str">
        <x:v>Events</x:v>
      </x:c>
      <x:c r="B1" s="4"/>
      <x:c r="C1" s="4"/>
      <x:c r="D1" s="4"/>
      <x:c r="E1" s="4"/>
      <x:c r="F1" s="4"/>
    </x:row>
    <x:row r="2" ht="21" customHeight="1">
      <x:c r="A2" s="3" t="str">
        <x:v>Health AI Orchestration · v1.0 · source BRD v1.1 · proposed baseline · 26 September 2026</x:v>
      </x:c>
      <x:c r="B2" s="3"/>
      <x:c r="C2" s="3"/>
      <x:c r="D2" s="3"/>
      <x:c r="E2" s="3"/>
      <x:c r="F2" s="3"/>
    </x:row>
    <x:row r="3" ht="21" customHeight="1">
      <x:c r="A3" s="3" t="str">
        <x:v>Controlled design catalogue. Update through the versioned specification review process.</x:v>
      </x:c>
      <x:c r="B3" s="3"/>
      <x:c r="C3" s="3"/>
      <x:c r="D3" s="3"/>
      <x:c r="E3" s="3"/>
      <x:c r="F3" s="3"/>
    </x:row>
    <x:row r="4">
      <x:c r="A4" s="3"/>
      <x:c r="B4" s="3"/>
      <x:c r="C4" s="3"/>
      <x:c r="D4" s="3"/>
      <x:c r="E4" s="3"/>
      <x:c r="F4" s="3"/>
    </x:row>
    <x:row r="5" ht="31.5" customHeight="1">
      <x:c r="A5" s="6" t="str">
        <x:v>ID</x:v>
      </x:c>
      <x:c r="B5" s="6" t="str">
        <x:v>Event name</x:v>
      </x:c>
      <x:c r="C5" s="6" t="str">
        <x:v>Resource</x:v>
      </x:c>
      <x:c r="D5" s="6" t="str">
        <x:v>Schema version</x:v>
      </x:c>
      <x:c r="E5" s="6" t="str">
        <x:v>Delivery</x:v>
      </x:c>
      <x:c r="F5" s="6" t="str">
        <x:v>Deduplication key</x:v>
      </x:c>
    </x:row>
    <x:row r="6" ht="30" customHeight="1">
      <x:c r="A6" s="7" t="str">
        <x:v>EVT01</x:v>
      </x:c>
      <x:c r="B6" s="7" t="str">
        <x:v>encounter.confirmed</x:v>
      </x:c>
      <x:c r="C6" s="7" t="str">
        <x:v>Encounter</x:v>
      </x:c>
      <x:c r="D6" s="7" t="str">
        <x:v>1.0</x:v>
      </x:c>
      <x:c r="E6" s="7" t="str">
        <x:v>At least once; order per aggregate</x:v>
      </x:c>
      <x:c r="F6" s="7" t="str">
        <x:v>tenant + consumer + event ID</x:v>
      </x:c>
    </x:row>
    <x:row r="7" ht="30" customHeight="1">
      <x:c r="A7" s="8" t="str">
        <x:v>EVT02</x:v>
      </x:c>
      <x:c r="B7" s="8" t="str">
        <x:v>observation.amended</x:v>
      </x:c>
      <x:c r="C7" s="8" t="str">
        <x:v>Observation</x:v>
      </x:c>
      <x:c r="D7" s="8" t="str">
        <x:v>1.0</x:v>
      </x:c>
      <x:c r="E7" s="8" t="str">
        <x:v>At least once; order per aggregate</x:v>
      </x:c>
      <x:c r="F7" s="8" t="str">
        <x:v>tenant + consumer + event ID</x:v>
      </x:c>
    </x:row>
    <x:row r="8" ht="30" customHeight="1">
      <x:c r="A8" s="7" t="str">
        <x:v>EVT03</x:v>
      </x:c>
      <x:c r="B8" s="7" t="str">
        <x:v>authority.revoked</x:v>
      </x:c>
      <x:c r="C8" s="7" t="str">
        <x:v>AuthorityRecord</x:v>
      </x:c>
      <x:c r="D8" s="7" t="str">
        <x:v>1.0</x:v>
      </x:c>
      <x:c r="E8" s="7" t="str">
        <x:v>At least once; order per aggregate</x:v>
      </x:c>
      <x:c r="F8" s="7" t="str">
        <x:v>tenant + consumer + event ID</x:v>
      </x:c>
    </x:row>
    <x:row r="9" ht="30" customHeight="1">
      <x:c r="A9" s="8" t="str">
        <x:v>EVT04</x:v>
      </x:c>
      <x:c r="B9" s="8" t="str">
        <x:v>plan.approved</x:v>
      </x:c>
      <x:c r="C9" s="8" t="str">
        <x:v>AgentPlan</x:v>
      </x:c>
      <x:c r="D9" s="8" t="str">
        <x:v>1.0</x:v>
      </x:c>
      <x:c r="E9" s="8" t="str">
        <x:v>At least once; order per aggregate</x:v>
      </x:c>
      <x:c r="F9" s="8" t="str">
        <x:v>tenant + consumer + event ID</x:v>
      </x:c>
    </x:row>
    <x:row r="10" ht="30" customHeight="1">
      <x:c r="A10" s="7" t="str">
        <x:v>EVT05</x:v>
      </x:c>
      <x:c r="B10" s="7" t="str">
        <x:v>ai.requested</x:v>
      </x:c>
      <x:c r="C10" s="7" t="str">
        <x:v>AIRequest</x:v>
      </x:c>
      <x:c r="D10" s="7" t="str">
        <x:v>1.0</x:v>
      </x:c>
      <x:c r="E10" s="7" t="str">
        <x:v>At least once; order per aggregate</x:v>
      </x:c>
      <x:c r="F10" s="7" t="str">
        <x:v>tenant + consumer + event ID</x:v>
      </x:c>
    </x:row>
    <x:row r="11" ht="30" customHeight="1">
      <x:c r="A11" s="8" t="str">
        <x:v>EVT06</x:v>
      </x:c>
      <x:c r="B11" s="8" t="str">
        <x:v>ai.result_available</x:v>
      </x:c>
      <x:c r="C11" s="8" t="str">
        <x:v>AIResult</x:v>
      </x:c>
      <x:c r="D11" s="8" t="str">
        <x:v>1.0</x:v>
      </x:c>
      <x:c r="E11" s="8" t="str">
        <x:v>At least once; order per aggregate</x:v>
      </x:c>
      <x:c r="F11" s="8" t="str">
        <x:v>tenant + consumer + event ID</x:v>
      </x:c>
    </x:row>
    <x:row r="12" ht="30" customHeight="1">
      <x:c r="A12" s="7" t="str">
        <x:v>EVT07</x:v>
      </x:c>
      <x:c r="B12" s="7" t="str">
        <x:v>capability.suspended</x:v>
      </x:c>
      <x:c r="C12" s="7" t="str">
        <x:v>ProviderCapability</x:v>
      </x:c>
      <x:c r="D12" s="7" t="str">
        <x:v>1.0</x:v>
      </x:c>
      <x:c r="E12" s="7" t="str">
        <x:v>At least once; order per aggregate</x:v>
      </x:c>
      <x:c r="F12" s="7" t="str">
        <x:v>tenant + consumer + event ID</x:v>
      </x:c>
    </x:row>
    <x:row r="13" ht="30" customHeight="1">
      <x:c r="A13" s="8" t="str">
        <x:v>EVT08</x:v>
      </x:c>
      <x:c r="B13" s="8" t="str">
        <x:v>submission.accepted</x:v>
      </x:c>
      <x:c r="C13" s="8" t="str">
        <x:v>Submission</x:v>
      </x:c>
      <x:c r="D13" s="8" t="str">
        <x:v>1.0</x:v>
      </x:c>
      <x:c r="E13" s="8" t="str">
        <x:v>At least once; order per aggregate</x:v>
      </x:c>
      <x:c r="F13" s="8" t="str">
        <x:v>tenant + consumer + event ID</x:v>
      </x:c>
    </x:row>
    <x:row r="14" ht="30" customHeight="1">
      <x:c r="A14" s="7" t="str">
        <x:v>EVT09</x:v>
      </x:c>
      <x:c r="B14" s="7" t="str">
        <x:v>submission.uncertain</x:v>
      </x:c>
      <x:c r="C14" s="7" t="str">
        <x:v>Submission</x:v>
      </x:c>
      <x:c r="D14" s="7" t="str">
        <x:v>1.0</x:v>
      </x:c>
      <x:c r="E14" s="7" t="str">
        <x:v>At least once; order per aggregate</x:v>
      </x:c>
      <x:c r="F14" s="7" t="str">
        <x:v>tenant + consumer + event ID</x:v>
      </x:c>
    </x:row>
    <x:row r="15" ht="30" customHeight="1">
      <x:c r="A15" s="8" t="str">
        <x:v>EVT10</x:v>
      </x:c>
      <x:c r="B15" s="8" t="str">
        <x:v>referral.state_changed</x:v>
      </x:c>
      <x:c r="C15" s="8" t="str">
        <x:v>Referral</x:v>
      </x:c>
      <x:c r="D15" s="8" t="str">
        <x:v>1.0</x:v>
      </x:c>
      <x:c r="E15" s="8" t="str">
        <x:v>At least once; order per aggregate</x:v>
      </x:c>
      <x:c r="F15" s="8" t="str">
        <x:v>tenant + consumer + event ID</x:v>
      </x:c>
    </x:row>
    <x:row r="16" ht="30" customHeight="1">
      <x:c r="A16" s="7" t="str">
        <x:v>EVT11</x:v>
      </x:c>
      <x:c r="B16" s="7" t="str">
        <x:v>identity.link_corrected</x:v>
      </x:c>
      <x:c r="C16" s="7" t="str">
        <x:v>IdentifierLink</x:v>
      </x:c>
      <x:c r="D16" s="7" t="str">
        <x:v>1.0</x:v>
      </x:c>
      <x:c r="E16" s="7" t="str">
        <x:v>At least once; order per aggregate</x:v>
      </x:c>
      <x:c r="F16" s="7" t="str">
        <x:v>tenant + consumer + event ID</x:v>
      </x:c>
    </x:row>
    <x:row r="17" ht="30" customHeight="1">
      <x:c r="A17" s="8" t="str">
        <x:v>EVT12</x:v>
      </x:c>
      <x:c r="B17" s="8" t="str">
        <x:v>sync.conflict_detected</x:v>
      </x:c>
      <x:c r="C17" s="8" t="str">
        <x:v>Conflict</x:v>
      </x:c>
      <x:c r="D17" s="8" t="str">
        <x:v>1.0</x:v>
      </x:c>
      <x:c r="E17" s="8" t="str">
        <x:v>At least once; order per aggregate</x:v>
      </x:c>
      <x:c r="F17" s="8" t="str">
        <x:v>tenant + consumer + event ID</x:v>
      </x:c>
    </x:row>
    <x:row r="18" ht="30" customHeight="1">
      <x:c r="A18" s="7" t="str">
        <x:v>EVT13</x:v>
      </x:c>
      <x:c r="B18" s="7" t="str">
        <x:v>exchange.validated</x:v>
      </x:c>
      <x:c r="C18" s="7" t="str">
        <x:v>Exchange</x:v>
      </x:c>
      <x:c r="D18" s="7" t="str">
        <x:v>1.0</x:v>
      </x:c>
      <x:c r="E18" s="7" t="str">
        <x:v>At least once; order per aggregate</x:v>
      </x:c>
      <x:c r="F18" s="7" t="str">
        <x:v>tenant + consumer + event ID</x:v>
      </x:c>
    </x:row>
    <x:row r="19" ht="30" customHeight="1">
      <x:c r="A19" s="8" t="str">
        <x:v>EVT14</x:v>
      </x:c>
      <x:c r="B19" s="8" t="str">
        <x:v>safety.case_opened</x:v>
      </x:c>
      <x:c r="C19" s="8" t="str">
        <x:v>SafetyCase</x:v>
      </x:c>
      <x:c r="D19" s="8" t="str">
        <x:v>1.0</x:v>
      </x:c>
      <x:c r="E19" s="8" t="str">
        <x:v>At least once; order per aggregate</x:v>
      </x:c>
      <x:c r="F19" s="8" t="str">
        <x:v>tenant + consumer + event ID</x:v>
      </x:c>
    </x:row>
    <x:row r="20" ht="30" customHeight="1">
      <x:c r="A20" s="7" t="str">
        <x:v>EVT15</x:v>
      </x:c>
      <x:c r="B20" s="7" t="str">
        <x:v>configuration.published</x:v>
      </x:c>
      <x:c r="C20" s="7" t="str">
        <x:v>DeploymentConfig</x:v>
      </x:c>
      <x:c r="D20" s="7" t="str">
        <x:v>1.0</x:v>
      </x:c>
      <x:c r="E20" s="7" t="str">
        <x:v>At least once; order per aggregate</x:v>
      </x:c>
      <x:c r="F20" s="7" t="str">
        <x:v>tenant + consumer + event ID</x:v>
      </x:c>
    </x:row>
    <x:row r="21" ht="30" customHeight="1">
      <x:c r="A21" s="8" t="str">
        <x:v>EVT16</x:v>
      </x:c>
      <x:c r="B21" s="8" t="str">
        <x:v>export.available</x:v>
      </x:c>
      <x:c r="C21" s="8" t="str">
        <x:v>ExportJob</x:v>
      </x:c>
      <x:c r="D21" s="8" t="str">
        <x:v>1.0</x:v>
      </x:c>
      <x:c r="E21" s="8" t="str">
        <x:v>At least once; order per aggregate</x:v>
      </x:c>
      <x:c r="F21" s="8" t="str">
        <x:v>tenant + consumer + event ID</x:v>
      </x:c>
    </x:row>
  </x:sheetData>
  <x:mergeCells>
    <x:mergeCell ref="A1:F1"/>
    <x:mergeCell ref="A2:F2"/>
    <x:mergeCell ref="A3:F3"/>
  </x:mergeCells>
  <x:pageMargins left="0.7" right="0.7" top="0.75" bottom="0.75" header="0.3" footer="0.3"/>
  <x:tableParts count="1">
    <x:tablePart xmlns:r="http://schemas.openxmlformats.org/officeDocument/2006/relationships" r:id="R3d42654c7fab44d1"/>
  </x:tableParts>
</x:worksheet>
</file>

<file path=xl/worksheets/sheet10.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25.559999465942383" hidden="0" customWidth="1"/>
    <x:col min="2" max="2" width="16.670000076293945" hidden="0" customWidth="1"/>
    <x:col min="3" max="3" width="16.670000076293945" hidden="0" customWidth="1"/>
    <x:col min="4" max="4" width="16.670000076293945" hidden="0" customWidth="1"/>
    <x:col min="5" max="5" width="16.670000076293945" hidden="0" customWidth="1"/>
    <x:col min="6" max="6" width="16.670000076293945" hidden="0" customWidth="1"/>
    <x:col min="7" max="7" width="16.670000076293945" hidden="0" customWidth="1"/>
    <x:col min="8" max="8" width="16.670000076293945" hidden="0" customWidth="1"/>
    <x:col min="9" max="9" width="16.670000076293945" hidden="0" customWidth="1"/>
    <x:col min="10" max="10" width="16.670000076293945" hidden="0" customWidth="1"/>
    <x:col min="11" max="11" width="16.670000076293945" hidden="0" customWidth="1"/>
    <x:col min="12" max="12" width="57.779998779296875" hidden="0" customWidth="1"/>
  </x:cols>
  <x:sheetData>
    <x:row r="1" ht="28.5" customHeight="1">
      <x:c r="A1" s="4" t="str">
        <x:v>Access Matrix</x:v>
      </x:c>
      <x:c r="B1" s="4"/>
      <x:c r="C1" s="4"/>
      <x:c r="D1" s="4"/>
      <x:c r="E1" s="4"/>
      <x:c r="F1" s="4"/>
      <x:c r="G1" s="3"/>
      <x:c r="H1" s="3"/>
      <x:c r="I1" s="3"/>
      <x:c r="J1" s="3"/>
      <x:c r="K1" s="3"/>
      <x:c r="L1" s="3"/>
    </x:row>
    <x:row r="2" ht="21" customHeight="1">
      <x:c r="A2" s="3" t="str">
        <x:v>Health AI Orchestration · v1.0 · source BRD v1.1 · proposed baseline · 26 September 2026</x:v>
      </x:c>
      <x:c r="B2" s="3"/>
      <x:c r="C2" s="3"/>
      <x:c r="D2" s="3"/>
      <x:c r="E2" s="3"/>
      <x:c r="F2" s="3"/>
      <x:c r="G2" s="3"/>
      <x:c r="H2" s="3"/>
      <x:c r="I2" s="3"/>
      <x:c r="J2" s="3"/>
      <x:c r="K2" s="3"/>
      <x:c r="L2" s="3"/>
    </x:row>
    <x:row r="3" ht="21" customHeight="1">
      <x:c r="A3" s="3" t="str">
        <x:v>Controlled design catalogue. Update through the versioned specification review process.</x:v>
      </x:c>
      <x:c r="B3" s="3"/>
      <x:c r="C3" s="3"/>
      <x:c r="D3" s="3"/>
      <x:c r="E3" s="3"/>
      <x:c r="F3" s="3"/>
      <x:c r="G3" s="3"/>
      <x:c r="H3" s="3"/>
      <x:c r="I3" s="3"/>
      <x:c r="J3" s="3"/>
      <x:c r="K3" s="3"/>
      <x:c r="L3" s="3"/>
    </x:row>
    <x:row r="4">
      <x:c r="A4" s="3"/>
      <x:c r="B4" s="3"/>
      <x:c r="C4" s="3"/>
      <x:c r="D4" s="3"/>
      <x:c r="E4" s="3"/>
      <x:c r="F4" s="3"/>
      <x:c r="G4" s="3"/>
      <x:c r="H4" s="3"/>
      <x:c r="I4" s="3"/>
      <x:c r="J4" s="3"/>
      <x:c r="K4" s="3"/>
      <x:c r="L4" s="3"/>
    </x:row>
    <x:row r="5" ht="31.5" customHeight="1">
      <x:c r="A5" s="6" t="str">
        <x:v>Action</x:v>
      </x:c>
      <x:c r="B5" s="6" t="str">
        <x:v>Frontline worker</x:v>
      </x:c>
      <x:c r="C5" s="6" t="str">
        <x:v>Supervisor</x:v>
      </x:c>
      <x:c r="D5" s="6" t="str">
        <x:v>Clinician</x:v>
      </x:c>
      <x:c r="E5" s="6" t="str">
        <x:v>Programme owner</x:v>
      </x:c>
      <x:c r="F5" s="6" t="str">
        <x:v>AI governance</x:v>
      </x:c>
      <x:c r="G5" s="6" t="str">
        <x:v>Integration operator</x:v>
      </x:c>
      <x:c r="H5" s="6" t="str">
        <x:v>Deployment admin</x:v>
      </x:c>
      <x:c r="I5" s="6" t="str">
        <x:v>Auditor</x:v>
      </x:c>
      <x:c r="J5" s="6" t="str">
        <x:v>Support</x:v>
      </x:c>
      <x:c r="K5" s="6" t="str">
        <x:v>Privacy lead</x:v>
      </x:c>
      <x:c r="L5" s="6" t="str">
        <x:v>Condition</x:v>
      </x:c>
    </x:row>
    <x:row r="6" ht="30" customHeight="1">
      <x:c r="A6" s="7" t="str">
        <x:v>View clinical record</x:v>
      </x:c>
      <x:c r="B6" s="7" t="str">
        <x:v>Conditional</x:v>
      </x:c>
      <x:c r="C6" s="7" t="str">
        <x:v>Conditional</x:v>
      </x:c>
      <x:c r="D6" s="7" t="str">
        <x:v>Conditional</x:v>
      </x:c>
      <x:c r="E6" s="7" t="str">
        <x:v>Denied</x:v>
      </x:c>
      <x:c r="F6" s="7" t="str">
        <x:v>Denied</x:v>
      </x:c>
      <x:c r="G6" s="7" t="str">
        <x:v>Denied</x:v>
      </x:c>
      <x:c r="H6" s="7" t="str">
        <x:v>Denied</x:v>
      </x:c>
      <x:c r="I6" s="7" t="str">
        <x:v>Conditional</x:v>
      </x:c>
      <x:c r="J6" s="7" t="str">
        <x:v>Conditional</x:v>
      </x:c>
      <x:c r="K6" s="7" t="str">
        <x:v>Conditional</x:v>
      </x:c>
      <x:c r="L6" s="7" t="str">
        <x:v>Requires permitted person relationship, purpose and minimum field scope</x:v>
      </x:c>
    </x:row>
    <x:row r="7" ht="30" customHeight="1">
      <x:c r="A7" s="8" t="str">
        <x:v>Record observation</x:v>
      </x:c>
      <x:c r="B7" s="8" t="str">
        <x:v>Conditional</x:v>
      </x:c>
      <x:c r="C7" s="8" t="str">
        <x:v>Conditional</x:v>
      </x:c>
      <x:c r="D7" s="8" t="str">
        <x:v>Conditional</x:v>
      </x:c>
      <x:c r="E7" s="8" t="str">
        <x:v>Denied</x:v>
      </x:c>
      <x:c r="F7" s="8" t="str">
        <x:v>Denied</x:v>
      </x:c>
      <x:c r="G7" s="8" t="str">
        <x:v>Denied</x:v>
      </x:c>
      <x:c r="H7" s="8" t="str">
        <x:v>Denied</x:v>
      </x:c>
      <x:c r="I7" s="8" t="str">
        <x:v>Denied</x:v>
      </x:c>
      <x:c r="J7" s="8" t="str">
        <x:v>Denied</x:v>
      </x:c>
      <x:c r="K7" s="8" t="str">
        <x:v>Denied</x:v>
      </x:c>
      <x:c r="L7" s="8" t="str">
        <x:v>Within assigned encounter; measured and reported sources remain distinct</x:v>
      </x:c>
    </x:row>
    <x:row r="8" ht="30" customHeight="1">
      <x:c r="A8" s="7" t="str">
        <x:v>Confirm encounter</x:v>
      </x:c>
      <x:c r="B8" s="7" t="str">
        <x:v>Conditional</x:v>
      </x:c>
      <x:c r="C8" s="7" t="str">
        <x:v>Conditional</x:v>
      </x:c>
      <x:c r="D8" s="7" t="str">
        <x:v>Conditional</x:v>
      </x:c>
      <x:c r="E8" s="7" t="str">
        <x:v>Denied</x:v>
      </x:c>
      <x:c r="F8" s="7" t="str">
        <x:v>Denied</x:v>
      </x:c>
      <x:c r="G8" s="7" t="str">
        <x:v>Denied</x:v>
      </x:c>
      <x:c r="H8" s="7" t="str">
        <x:v>Denied</x:v>
      </x:c>
      <x:c r="I8" s="7" t="str">
        <x:v>Denied</x:v>
      </x:c>
      <x:c r="J8" s="7" t="str">
        <x:v>Denied</x:v>
      </x:c>
      <x:c r="K8" s="7" t="str">
        <x:v>Denied</x:v>
      </x:c>
      <x:c r="L8" s="7" t="str">
        <x:v>Verified patient context and reviewed exact fact revisions</x:v>
      </x:c>
    </x:row>
    <x:row r="9" ht="30" customHeight="1">
      <x:c r="A9" s="8" t="str">
        <x:v>Prepare referral</x:v>
      </x:c>
      <x:c r="B9" s="8" t="str">
        <x:v>Conditional</x:v>
      </x:c>
      <x:c r="C9" s="8" t="str">
        <x:v>Conditional</x:v>
      </x:c>
      <x:c r="D9" s="8" t="str">
        <x:v>Conditional</x:v>
      </x:c>
      <x:c r="E9" s="8" t="str">
        <x:v>Denied</x:v>
      </x:c>
      <x:c r="F9" s="8" t="str">
        <x:v>Denied</x:v>
      </x:c>
      <x:c r="G9" s="8" t="str">
        <x:v>Denied</x:v>
      </x:c>
      <x:c r="H9" s="8" t="str">
        <x:v>Denied</x:v>
      </x:c>
      <x:c r="I9" s="8" t="str">
        <x:v>Denied</x:v>
      </x:c>
      <x:c r="J9" s="8" t="str">
        <x:v>Denied</x:v>
      </x:c>
      <x:c r="K9" s="8" t="str">
        <x:v>Denied</x:v>
      </x:c>
      <x:c r="L9" s="8" t="str">
        <x:v>Approved protocol and scope; qualified review for consequential decisions</x:v>
      </x:c>
    </x:row>
    <x:row r="10" ht="30" customHeight="1">
      <x:c r="A10" s="7" t="str">
        <x:v>Issue clinical order</x:v>
      </x:c>
      <x:c r="B10" s="7" t="str">
        <x:v>Denied</x:v>
      </x:c>
      <x:c r="C10" s="7" t="str">
        <x:v>Conditional</x:v>
      </x:c>
      <x:c r="D10" s="7" t="str">
        <x:v>Conditional</x:v>
      </x:c>
      <x:c r="E10" s="7" t="str">
        <x:v>Denied</x:v>
      </x:c>
      <x:c r="F10" s="7" t="str">
        <x:v>Denied</x:v>
      </x:c>
      <x:c r="G10" s="7" t="str">
        <x:v>Denied</x:v>
      </x:c>
      <x:c r="H10" s="7" t="str">
        <x:v>Denied</x:v>
      </x:c>
      <x:c r="I10" s="7" t="str">
        <x:v>Denied</x:v>
      </x:c>
      <x:c r="J10" s="7" t="str">
        <x:v>Denied</x:v>
      </x:c>
      <x:c r="K10" s="7" t="str">
        <x:v>Denied</x:v>
      </x:c>
      <x:c r="L10" s="7" t="str">
        <x:v>Verified clinical credential and local scope required; title alone is insufficient</x:v>
      </x:c>
    </x:row>
    <x:row r="11" ht="30" customHeight="1">
      <x:c r="A11" s="8" t="str">
        <x:v>Invoke health AI</x:v>
      </x:c>
      <x:c r="B11" s="8" t="str">
        <x:v>Conditional</x:v>
      </x:c>
      <x:c r="C11" s="8" t="str">
        <x:v>Conditional</x:v>
      </x:c>
      <x:c r="D11" s="8" t="str">
        <x:v>Conditional</x:v>
      </x:c>
      <x:c r="E11" s="8" t="str">
        <x:v>Denied</x:v>
      </x:c>
      <x:c r="F11" s="8" t="str">
        <x:v>Denied</x:v>
      </x:c>
      <x:c r="G11" s="8" t="str">
        <x:v>Denied</x:v>
      </x:c>
      <x:c r="H11" s="8" t="str">
        <x:v>Denied</x:v>
      </x:c>
      <x:c r="I11" s="8" t="str">
        <x:v>Denied</x:v>
      </x:c>
      <x:c r="J11" s="8" t="str">
        <x:v>Denied</x:v>
      </x:c>
      <x:c r="K11" s="8" t="str">
        <x:v>Denied</x:v>
      </x:c>
      <x:c r="L11" s="8" t="str">
        <x:v>Eligible approved model, authority, quality, budget and current patient context</x:v>
      </x:c>
    </x:row>
    <x:row r="12" ht="35.25" customHeight="1">
      <x:c r="A12" s="7" t="str">
        <x:v>Approve AI deployment</x:v>
      </x:c>
      <x:c r="B12" s="7" t="str">
        <x:v>Denied</x:v>
      </x:c>
      <x:c r="C12" s="7" t="str">
        <x:v>Denied</x:v>
      </x:c>
      <x:c r="D12" s="7" t="str">
        <x:v>Conditional</x:v>
      </x:c>
      <x:c r="E12" s="7" t="str">
        <x:v>Conditional</x:v>
      </x:c>
      <x:c r="F12" s="7" t="str">
        <x:v>Conditional</x:v>
      </x:c>
      <x:c r="G12" s="7" t="str">
        <x:v>Denied</x:v>
      </x:c>
      <x:c r="H12" s="7" t="str">
        <x:v>Denied</x:v>
      </x:c>
      <x:c r="I12" s="7" t="str">
        <x:v>Denied</x:v>
      </x:c>
      <x:c r="J12" s="7" t="str">
        <x:v>Denied</x:v>
      </x:c>
      <x:c r="K12" s="7" t="str">
        <x:v>Conditional</x:v>
      </x:c>
      <x:c r="L12" s="7" t="str">
        <x:v>Independent evidence review; required clinical and privacy approvals before activation</x:v>
      </x:c>
    </x:row>
    <x:row r="13" ht="30" customHeight="1">
      <x:c r="A13" s="8" t="str">
        <x:v>Activate connector</x:v>
      </x:c>
      <x:c r="B13" s="8" t="str">
        <x:v>Denied</x:v>
      </x:c>
      <x:c r="C13" s="8" t="str">
        <x:v>Denied</x:v>
      </x:c>
      <x:c r="D13" s="8" t="str">
        <x:v>Denied</x:v>
      </x:c>
      <x:c r="E13" s="8" t="str">
        <x:v>Denied</x:v>
      </x:c>
      <x:c r="F13" s="8" t="str">
        <x:v>Denied</x:v>
      </x:c>
      <x:c r="G13" s="8" t="str">
        <x:v>Conditional</x:v>
      </x:c>
      <x:c r="H13" s="8" t="str">
        <x:v>Conditional</x:v>
      </x:c>
      <x:c r="I13" s="8" t="str">
        <x:v>Denied</x:v>
      </x:c>
      <x:c r="J13" s="8" t="str">
        <x:v>Denied</x:v>
      </x:c>
      <x:c r="K13" s="8" t="str">
        <x:v>Denied</x:v>
      </x:c>
      <x:c r="L13" s="8" t="str">
        <x:v>Owner authority, exact operation profile and production evidence</x:v>
      </x:c>
    </x:row>
    <x:row r="14" ht="30" customHeight="1">
      <x:c r="A14" s="7" t="str">
        <x:v>Retrieve ABDM records</x:v>
      </x:c>
      <x:c r="B14" s="7" t="str">
        <x:v>Conditional</x:v>
      </x:c>
      <x:c r="C14" s="7" t="str">
        <x:v>Conditional</x:v>
      </x:c>
      <x:c r="D14" s="7" t="str">
        <x:v>Conditional</x:v>
      </x:c>
      <x:c r="E14" s="7" t="str">
        <x:v>Denied</x:v>
      </x:c>
      <x:c r="F14" s="7" t="str">
        <x:v>Denied</x:v>
      </x:c>
      <x:c r="G14" s="7" t="str">
        <x:v>Denied</x:v>
      </x:c>
      <x:c r="H14" s="7" t="str">
        <x:v>Denied</x:v>
      </x:c>
      <x:c r="I14" s="7" t="str">
        <x:v>Denied</x:v>
      </x:c>
      <x:c r="J14" s="7" t="str">
        <x:v>Denied</x:v>
      </x:c>
      <x:c r="K14" s="7" t="str">
        <x:v>Denied</x:v>
      </x:c>
      <x:c r="L14" s="7" t="str">
        <x:v>Enabled HIU role, verified requester and valid scoped authority or consent</x:v>
      </x:c>
    </x:row>
    <x:row r="15" ht="30" customHeight="1">
      <x:c r="A15" s="8" t="str">
        <x:v>Publish programme pack</x:v>
      </x:c>
      <x:c r="B15" s="8" t="str">
        <x:v>Denied</x:v>
      </x:c>
      <x:c r="C15" s="8" t="str">
        <x:v>Denied</x:v>
      </x:c>
      <x:c r="D15" s="8" t="str">
        <x:v>Conditional</x:v>
      </x:c>
      <x:c r="E15" s="8" t="str">
        <x:v>Conditional</x:v>
      </x:c>
      <x:c r="F15" s="8" t="str">
        <x:v>Denied</x:v>
      </x:c>
      <x:c r="G15" s="8" t="str">
        <x:v>Denied</x:v>
      </x:c>
      <x:c r="H15" s="8" t="str">
        <x:v>Conditional</x:v>
      </x:c>
      <x:c r="I15" s="8" t="str">
        <x:v>Denied</x:v>
      </x:c>
      <x:c r="J15" s="8" t="str">
        <x:v>Denied</x:v>
      </x:c>
      <x:c r="K15" s="8" t="str">
        <x:v>Denied</x:v>
      </x:c>
      <x:c r="L15" s="8" t="str">
        <x:v>Programme review plus clinical approval for clinical content; no self-elevation</x:v>
      </x:c>
    </x:row>
    <x:row r="16" ht="30" customHeight="1">
      <x:c r="A16" s="7" t="str">
        <x:v>Assign follow up</x:v>
      </x:c>
      <x:c r="B16" s="7" t="str">
        <x:v>Conditional</x:v>
      </x:c>
      <x:c r="C16" s="7" t="str">
        <x:v>Conditional</x:v>
      </x:c>
      <x:c r="D16" s="7" t="str">
        <x:v>Conditional</x:v>
      </x:c>
      <x:c r="E16" s="7" t="str">
        <x:v>Conditional</x:v>
      </x:c>
      <x:c r="F16" s="7" t="str">
        <x:v>Denied</x:v>
      </x:c>
      <x:c r="G16" s="7" t="str">
        <x:v>Denied</x:v>
      </x:c>
      <x:c r="H16" s="7" t="str">
        <x:v>Conditional</x:v>
      </x:c>
      <x:c r="I16" s="7" t="str">
        <x:v>Denied</x:v>
      </x:c>
      <x:c r="J16" s="7" t="str">
        <x:v>Denied</x:v>
      </x:c>
      <x:c r="K16" s="7" t="str">
        <x:v>Denied</x:v>
      </x:c>
      <x:c r="L16" s="7" t="str">
        <x:v>Within organisational assignment scope and role authority</x:v>
      </x:c>
    </x:row>
    <x:row r="17" ht="30" customHeight="1">
      <x:c r="A17" s="8" t="str">
        <x:v>View aggregate report</x:v>
      </x:c>
      <x:c r="B17" s="8" t="str">
        <x:v>Denied</x:v>
      </x:c>
      <x:c r="C17" s="8" t="str">
        <x:v>Conditional</x:v>
      </x:c>
      <x:c r="D17" s="8" t="str">
        <x:v>Conditional</x:v>
      </x:c>
      <x:c r="E17" s="8" t="str">
        <x:v>Conditional</x:v>
      </x:c>
      <x:c r="F17" s="8" t="str">
        <x:v>Denied</x:v>
      </x:c>
      <x:c r="G17" s="8" t="str">
        <x:v>Denied</x:v>
      </x:c>
      <x:c r="H17" s="8" t="str">
        <x:v>Conditional</x:v>
      </x:c>
      <x:c r="I17" s="8" t="str">
        <x:v>Conditional</x:v>
      </x:c>
      <x:c r="J17" s="8" t="str">
        <x:v>Denied</x:v>
      </x:c>
      <x:c r="K17" s="8" t="str">
        <x:v>Conditional</x:v>
      </x:c>
      <x:c r="L17" s="8" t="str">
        <x:v>Approved measures and suppression rules within tenant scope</x:v>
      </x:c>
    </x:row>
    <x:row r="18" ht="30" customHeight="1">
      <x:c r="A18" s="7" t="str">
        <x:v>Export person records</x:v>
      </x:c>
      <x:c r="B18" s="7" t="str">
        <x:v>Denied</x:v>
      </x:c>
      <x:c r="C18" s="7" t="str">
        <x:v>Conditional</x:v>
      </x:c>
      <x:c r="D18" s="7" t="str">
        <x:v>Conditional</x:v>
      </x:c>
      <x:c r="E18" s="7" t="str">
        <x:v>Conditional</x:v>
      </x:c>
      <x:c r="F18" s="7" t="str">
        <x:v>Denied</x:v>
      </x:c>
      <x:c r="G18" s="7" t="str">
        <x:v>Denied</x:v>
      </x:c>
      <x:c r="H18" s="7" t="str">
        <x:v>Denied</x:v>
      </x:c>
      <x:c r="I18" s="7" t="str">
        <x:v>Conditional</x:v>
      </x:c>
      <x:c r="J18" s="7" t="str">
        <x:v>Denied</x:v>
      </x:c>
      <x:c r="K18" s="7" t="str">
        <x:v>Conditional</x:v>
      </x:c>
      <x:c r="L18" s="7" t="str">
        <x:v>Separate export purpose and record-level authority; expiring download</x:v>
      </x:c>
    </x:row>
    <x:row r="19" ht="30" customHeight="1">
      <x:c r="A19" s="8" t="str">
        <x:v>Inspect audit evidence</x:v>
      </x:c>
      <x:c r="B19" s="8" t="str">
        <x:v>Denied</x:v>
      </x:c>
      <x:c r="C19" s="8" t="str">
        <x:v>Conditional</x:v>
      </x:c>
      <x:c r="D19" s="8" t="str">
        <x:v>Conditional</x:v>
      </x:c>
      <x:c r="E19" s="8" t="str">
        <x:v>Conditional</x:v>
      </x:c>
      <x:c r="F19" s="8" t="str">
        <x:v>Conditional</x:v>
      </x:c>
      <x:c r="G19" s="8" t="str">
        <x:v>Conditional</x:v>
      </x:c>
      <x:c r="H19" s="8" t="str">
        <x:v>Conditional</x:v>
      </x:c>
      <x:c r="I19" s="8" t="str">
        <x:v>Conditional</x:v>
      </x:c>
      <x:c r="J19" s="8" t="str">
        <x:v>Conditional</x:v>
      </x:c>
      <x:c r="K19" s="8" t="str">
        <x:v>Conditional</x:v>
      </x:c>
      <x:c r="L19" s="8" t="str">
        <x:v>Each role limited to its allowed evidence; raw patient content excluded by default</x:v>
      </x:c>
    </x:row>
    <x:row r="20" ht="30" customHeight="1">
      <x:c r="A20" s="7" t="str">
        <x:v>Grant support access</x:v>
      </x:c>
      <x:c r="B20" s="7" t="str">
        <x:v>Denied</x:v>
      </x:c>
      <x:c r="C20" s="7" t="str">
        <x:v>Denied</x:v>
      </x:c>
      <x:c r="D20" s="7" t="str">
        <x:v>Denied</x:v>
      </x:c>
      <x:c r="E20" s="7" t="str">
        <x:v>Denied</x:v>
      </x:c>
      <x:c r="F20" s="7" t="str">
        <x:v>Denied</x:v>
      </x:c>
      <x:c r="G20" s="7" t="str">
        <x:v>Denied</x:v>
      </x:c>
      <x:c r="H20" s="7" t="str">
        <x:v>Conditional</x:v>
      </x:c>
      <x:c r="I20" s="7" t="str">
        <x:v>Denied</x:v>
      </x:c>
      <x:c r="J20" s="7" t="str">
        <x:v>Denied</x:v>
      </x:c>
      <x:c r="K20" s="7" t="str">
        <x:v>Conditional</x:v>
      </x:c>
      <x:c r="L20" s="7" t="str">
        <x:v>Independent approval, purpose, scope, expiry and case reference</x:v>
      </x:c>
    </x:row>
    <x:row r="21" ht="30" customHeight="1">
      <x:c r="A21" s="8" t="str">
        <x:v>Publish configuration</x:v>
      </x:c>
      <x:c r="B21" s="8" t="str">
        <x:v>Denied</x:v>
      </x:c>
      <x:c r="C21" s="8" t="str">
        <x:v>Denied</x:v>
      </x:c>
      <x:c r="D21" s="8" t="str">
        <x:v>Denied</x:v>
      </x:c>
      <x:c r="E21" s="8" t="str">
        <x:v>Conditional</x:v>
      </x:c>
      <x:c r="F21" s="8" t="str">
        <x:v>Conditional</x:v>
      </x:c>
      <x:c r="G21" s="8" t="str">
        <x:v>Conditional</x:v>
      </x:c>
      <x:c r="H21" s="8" t="str">
        <x:v>Conditional</x:v>
      </x:c>
      <x:c r="I21" s="8" t="str">
        <x:v>Denied</x:v>
      </x:c>
      <x:c r="J21" s="8" t="str">
        <x:v>Denied</x:v>
      </x:c>
      <x:c r="K21" s="8" t="str">
        <x:v>Denied</x:v>
      </x:c>
      <x:c r="L21" s="8" t="str">
        <x:v>Controlled release and independent review for sensitive changes</x:v>
      </x:c>
    </x:row>
    <x:row r="22" ht="30" customHeight="1">
      <x:c r="A22" s="7" t="str">
        <x:v>Authorise disposal</x:v>
      </x:c>
      <x:c r="B22" s="7" t="str">
        <x:v>Denied</x:v>
      </x:c>
      <x:c r="C22" s="7" t="str">
        <x:v>Denied</x:v>
      </x:c>
      <x:c r="D22" s="7" t="str">
        <x:v>Conditional</x:v>
      </x:c>
      <x:c r="E22" s="7" t="str">
        <x:v>Denied</x:v>
      </x:c>
      <x:c r="F22" s="7" t="str">
        <x:v>Denied</x:v>
      </x:c>
      <x:c r="G22" s="7" t="str">
        <x:v>Denied</x:v>
      </x:c>
      <x:c r="H22" s="7" t="str">
        <x:v>Denied</x:v>
      </x:c>
      <x:c r="I22" s="7" t="str">
        <x:v>Denied</x:v>
      </x:c>
      <x:c r="J22" s="7" t="str">
        <x:v>Denied</x:v>
      </x:c>
      <x:c r="K22" s="7" t="str">
        <x:v>Conditional</x:v>
      </x:c>
      <x:c r="L22" s="7" t="str">
        <x:v>Approved retention schedule, legal holds and record custody checked</x:v>
      </x:c>
    </x:row>
    <x:row r="23" ht="30" customHeight="1">
      <x:c r="A23" s="8" t="str">
        <x:v>Run synthetic scenarios</x:v>
      </x:c>
      <x:c r="B23" s="8" t="str">
        <x:v>Conditional</x:v>
      </x:c>
      <x:c r="C23" s="8" t="str">
        <x:v>Conditional</x:v>
      </x:c>
      <x:c r="D23" s="8" t="str">
        <x:v>Conditional</x:v>
      </x:c>
      <x:c r="E23" s="8" t="str">
        <x:v>Conditional</x:v>
      </x:c>
      <x:c r="F23" s="8" t="str">
        <x:v>Conditional</x:v>
      </x:c>
      <x:c r="G23" s="8" t="str">
        <x:v>Conditional</x:v>
      </x:c>
      <x:c r="H23" s="8" t="str">
        <x:v>Conditional</x:v>
      </x:c>
      <x:c r="I23" s="8" t="str">
        <x:v>Conditional</x:v>
      </x:c>
      <x:c r="J23" s="8" t="str">
        <x:v>Conditional</x:v>
      </x:c>
      <x:c r="K23" s="8" t="str">
        <x:v>Conditional</x:v>
      </x:c>
      <x:c r="L23" s="8" t="str">
        <x:v>Synthetic environment with non-production credentials and no external side effects</x:v>
      </x:c>
    </x:row>
    <x:row r="24" ht="30" customHeight="1">
      <x:c r="A24" s="7" t="str">
        <x:v>Manage memberships</x:v>
      </x:c>
      <x:c r="B24" s="7" t="str">
        <x:v>Denied</x:v>
      </x:c>
      <x:c r="C24" s="7" t="str">
        <x:v>Denied</x:v>
      </x:c>
      <x:c r="D24" s="7" t="str">
        <x:v>Denied</x:v>
      </x:c>
      <x:c r="E24" s="7" t="str">
        <x:v>Denied</x:v>
      </x:c>
      <x:c r="F24" s="7" t="str">
        <x:v>Denied</x:v>
      </x:c>
      <x:c r="G24" s="7" t="str">
        <x:v>Denied</x:v>
      </x:c>
      <x:c r="H24" s="7" t="str">
        <x:v>Conditional</x:v>
      </x:c>
      <x:c r="I24" s="7" t="str">
        <x:v>Denied</x:v>
      </x:c>
      <x:c r="J24" s="7" t="str">
        <x:v>Denied</x:v>
      </x:c>
      <x:c r="K24" s="7" t="str">
        <x:v>Denied</x:v>
      </x:c>
      <x:c r="L24" s="7" t="str">
        <x:v>Institutional verification and allowed role subset</x:v>
      </x:c>
    </x:row>
    <x:row r="25" ht="35.25" customHeight="1">
      <x:c r="A25" s="8" t="str">
        <x:v>Correct identity link</x:v>
      </x:c>
      <x:c r="B25" s="8" t="str">
        <x:v>Denied</x:v>
      </x:c>
      <x:c r="C25" s="8" t="str">
        <x:v>Conditional</x:v>
      </x:c>
      <x:c r="D25" s="8" t="str">
        <x:v>Conditional</x:v>
      </x:c>
      <x:c r="E25" s="8" t="str">
        <x:v>Denied</x:v>
      </x:c>
      <x:c r="F25" s="8" t="str">
        <x:v>Denied</x:v>
      </x:c>
      <x:c r="G25" s="8" t="str">
        <x:v>Denied</x:v>
      </x:c>
      <x:c r="H25" s="8" t="str">
        <x:v>Denied</x:v>
      </x:c>
      <x:c r="I25" s="8" t="str">
        <x:v>Denied</x:v>
      </x:c>
      <x:c r="J25" s="8" t="str">
        <x:v>Denied</x:v>
      </x:c>
      <x:c r="K25" s="8" t="str">
        <x:v>Conditional</x:v>
      </x:c>
      <x:c r="L25" s="8" t="str">
        <x:v>Explicit identity-steward assignment and evidence; external changes require owner authority</x:v>
      </x:c>
    </x:row>
  </x:sheetData>
  <x:mergeCells>
    <x:mergeCell ref="A1:F1"/>
    <x:mergeCell ref="A2:F2"/>
    <x:mergeCell ref="A3:F3"/>
  </x:mergeCells>
  <x:pageMargins left="0.7" right="0.7" top="0.75" bottom="0.75" header="0.3" footer="0.3"/>
  <x:tableParts count="1">
    <x:tablePart xmlns:r="http://schemas.openxmlformats.org/officeDocument/2006/relationships" r:id="R83bc7571e79c48ce"/>
  </x:tableParts>
</x:worksheet>
</file>

<file path=xl/worksheets/sheet11.xml><?xml version="1.0" encoding="utf-8"?>
<x:worksheet xmlns:x="http://schemas.openxmlformats.org/spreadsheetml/2006/main">
  <x:sheetPr>
    <x:tabColor rgb="FFB8852C"/>
  </x:sheetPr>
  <x:sheetViews>
    <x:sheetView showGridLines="0" workbookViewId="0">
      <x:pane xSplit="1" ySplit="5" topLeftCell="B6" activePane="bottomRight" state="frozen"/>
    </x:sheetView>
  </x:sheetViews>
  <x:sheetFormatPr defaultRowHeight="15"/>
  <x:cols>
    <x:col min="1" max="1" width="10" hidden="0" customWidth="1"/>
    <x:col min="2" max="2" width="33.33000183105469" hidden="0" customWidth="1"/>
    <x:col min="3" max="3" width="44.439998626708984" hidden="0" customWidth="1"/>
    <x:col min="4" max="4" width="26.670000076293945" hidden="0" customWidth="1"/>
    <x:col min="5" max="5" width="20" hidden="0" customWidth="1"/>
    <x:col min="6" max="6" width="46.66999816894531" hidden="0" customWidth="1"/>
    <x:col min="7" max="7" width="14.4399995803833" hidden="0" customWidth="1"/>
  </x:cols>
  <x:sheetData>
    <x:row r="1" ht="28.5" customHeight="1">
      <x:c r="A1" s="4" t="str">
        <x:v>Decisions</x:v>
      </x:c>
      <x:c r="B1" s="4"/>
      <x:c r="C1" s="4"/>
      <x:c r="D1" s="4"/>
      <x:c r="E1" s="4"/>
      <x:c r="F1" s="4"/>
      <x:c r="G1" s="3"/>
    </x:row>
    <x:row r="2" ht="21" customHeight="1">
      <x:c r="A2" s="3" t="str">
        <x:v>Health AI Orchestration · v1.0 · source BRD v1.1 · proposed baseline · 26 September 2026</x:v>
      </x:c>
      <x:c r="B2" s="3"/>
      <x:c r="C2" s="3"/>
      <x:c r="D2" s="3"/>
      <x:c r="E2" s="3"/>
      <x:c r="F2" s="3"/>
      <x:c r="G2" s="3"/>
    </x:row>
    <x:row r="3" ht="21" customHeight="1">
      <x:c r="A3" s="3" t="str">
        <x:v>Amber cells are editable execution fields. Add evidence before marking work or tests complete.</x:v>
      </x:c>
      <x:c r="B3" s="3"/>
      <x:c r="C3" s="3"/>
      <x:c r="D3" s="3"/>
      <x:c r="E3" s="3"/>
      <x:c r="F3" s="3"/>
      <x:c r="G3" s="3"/>
    </x:row>
    <x:row r="4">
      <x:c r="A4" s="3"/>
      <x:c r="B4" s="3"/>
      <x:c r="C4" s="3"/>
      <x:c r="D4" s="3"/>
      <x:c r="E4" s="3"/>
      <x:c r="F4" s="3"/>
      <x:c r="G4" s="3"/>
    </x:row>
    <x:row r="5" ht="31.5" customHeight="1">
      <x:c r="A5" s="6" t="str">
        <x:v>ID</x:v>
      </x:c>
      <x:c r="B5" s="6" t="str">
        <x:v>Decision</x:v>
      </x:c>
      <x:c r="C5" s="6" t="str">
        <x:v>Proposed baseline</x:v>
      </x:c>
      <x:c r="D5" s="6" t="str">
        <x:v>Owner role</x:v>
      </x:c>
      <x:c r="E5" s="6" t="str">
        <x:v>Required before</x:v>
      </x:c>
      <x:c r="F5" s="6" t="str">
        <x:v>Closure evidence</x:v>
      </x:c>
      <x:c r="G5" s="6" t="str">
        <x:v>Status</x:v>
      </x:c>
    </x:row>
    <x:row r="6" ht="30" customHeight="1">
      <x:c r="A6" s="7" t="str">
        <x:v>D01</x:v>
      </x:c>
      <x:c r="B6" s="7" t="str">
        <x:v>Buyer and deployment authority</x:v>
      </x:c>
      <x:c r="C6" s="7" t="str">
        <x:v>One state or implementation organisation</x:v>
      </x:c>
      <x:c r="D6" s="7" t="str">
        <x:v>Sponsor</x:v>
      </x:c>
      <x:c r="E6" s="7" t="str">
        <x:v>G1</x:v>
      </x:c>
      <x:c r="F6" s="7" t="str">
        <x:v>Named buyer with authority to remove duplicate work</x:v>
      </x:c>
      <x:c r="G6" s="10" t="str">
        <x:v>Open</x:v>
      </x:c>
    </x:row>
    <x:row r="7" ht="30" customHeight="1">
      <x:c r="A7" s="8" t="str">
        <x:v>D02</x:v>
      </x:c>
      <x:c r="B7" s="8" t="str">
        <x:v>Pilot location and cohort</x:v>
      </x:c>
      <x:c r="C7" s="8" t="str">
        <x:v>One district and 100 to 200 workers</x:v>
      </x:c>
      <x:c r="D7" s="8" t="str">
        <x:v>Operations</x:v>
      </x:c>
      <x:c r="E7" s="8" t="str">
        <x:v>G1</x:v>
      </x:c>
      <x:c r="F7" s="8" t="str">
        <x:v>Site and participant plan accepted</x:v>
      </x:c>
      <x:c r="G7" s="10" t="str">
        <x:v>Open</x:v>
      </x:c>
    </x:row>
    <x:row r="8" ht="30" customHeight="1">
      <x:c r="A8" s="7" t="str">
        <x:v>D03</x:v>
      </x:c>
      <x:c r="B8" s="7" t="str">
        <x:v>Programme selection</x:v>
      </x:c>
      <x:c r="C8" s="7" t="str">
        <x:v>Maternal health TB hypertension</x:v>
      </x:c>
      <x:c r="D8" s="7" t="str">
        <x:v>Programme owners</x:v>
      </x:c>
      <x:c r="E8" s="7" t="str">
        <x:v>G1</x:v>
      </x:c>
      <x:c r="F8" s="7" t="str">
        <x:v>Actual forms and task scope signed</x:v>
      </x:c>
      <x:c r="G8" s="10" t="str">
        <x:v>Open</x:v>
      </x:c>
    </x:row>
    <x:row r="9" ht="30" customHeight="1">
      <x:c r="A9" s="8" t="str">
        <x:v>D04</x:v>
      </x:c>
      <x:c r="B9" s="8" t="str">
        <x:v>Two live destinations</x:v>
      </x:c>
      <x:c r="C9" s="8" t="str">
        <x:v>Candidate systems only</x:v>
      </x:c>
      <x:c r="D9" s="8" t="str">
        <x:v>Integration owner</x:v>
      </x:c>
      <x:c r="E9" s="8" t="str">
        <x:v>G2</x:v>
      </x:c>
      <x:c r="F9" s="8" t="str">
        <x:v>Owner-authorised API or file contract and receipt proof</x:v>
      </x:c>
      <x:c r="G9" s="10" t="str">
        <x:v>Open</x:v>
      </x:c>
    </x:row>
    <x:row r="10" ht="30" customHeight="1">
      <x:c r="A10" s="7" t="str">
        <x:v>D05</x:v>
      </x:c>
      <x:c r="B10" s="7" t="str">
        <x:v>AI providers and clinical use</x:v>
      </x:c>
      <x:c r="C10" s="7" t="str">
        <x:v>Two providers with at least one eligible health capability</x:v>
      </x:c>
      <x:c r="D10" s="7" t="str">
        <x:v>AI governance</x:v>
      </x:c>
      <x:c r="E10" s="7" t="str">
        <x:v>G3</x:v>
      </x:c>
      <x:c r="F10" s="7" t="str">
        <x:v>Provider evidence, contract and scoped activation</x:v>
      </x:c>
      <x:c r="G10" s="10" t="str">
        <x:v>Open</x:v>
      </x:c>
    </x:row>
    <x:row r="11" ht="30" customHeight="1">
      <x:c r="A11" s="8" t="str">
        <x:v>D06</x:v>
      </x:c>
      <x:c r="B11" s="8" t="str">
        <x:v>Clinical authority</x:v>
      </x:c>
      <x:c r="C11" s="8" t="str">
        <x:v>Qualified clinical lead and referral network</x:v>
      </x:c>
      <x:c r="D11" s="8" t="str">
        <x:v>Buyer</x:v>
      </x:c>
      <x:c r="E11" s="8" t="str">
        <x:v>G1</x:v>
      </x:c>
      <x:c r="F11" s="8" t="str">
        <x:v>Named clinical accountability and escalation route</x:v>
      </x:c>
      <x:c r="G11" s="10" t="str">
        <x:v>Open</x:v>
      </x:c>
    </x:row>
    <x:row r="12" ht="30" customHeight="1">
      <x:c r="A12" s="7" t="str">
        <x:v>D07</x:v>
      </x:c>
      <x:c r="B12" s="7" t="str">
        <x:v>Languages</x:v>
      </x:c>
      <x:c r="C12" s="7" t="str">
        <x:v>Hindi and English subject to local suitability</x:v>
      </x:c>
      <x:c r="D12" s="7" t="str">
        <x:v>Operations</x:v>
      </x:c>
      <x:c r="E12" s="7" t="str">
        <x:v>G1</x:v>
      </x:c>
      <x:c r="F12" s="7" t="str">
        <x:v>User research and reviewed language content</x:v>
      </x:c>
      <x:c r="G12" s="10" t="str">
        <x:v>Open</x:v>
      </x:c>
    </x:row>
    <x:row r="13" ht="30" customHeight="1">
      <x:c r="A13" s="8" t="str">
        <x:v>D08</x:v>
      </x:c>
      <x:c r="B13" s="8" t="str">
        <x:v>Processing basis</x:v>
      </x:c>
      <x:c r="C13" s="8" t="str">
        <x:v>Per purpose organisation recipient</x:v>
      </x:c>
      <x:c r="D13" s="8" t="str">
        <x:v>Privacy lead</x:v>
      </x:c>
      <x:c r="E13" s="8" t="str">
        <x:v>G2</x:v>
      </x:c>
      <x:c r="F13" s="8" t="str">
        <x:v>Approved data-flow record</x:v>
      </x:c>
      <x:c r="G13" s="10" t="str">
        <x:v>Open</x:v>
      </x:c>
    </x:row>
    <x:row r="14" ht="30" customHeight="1">
      <x:c r="A14" s="7" t="str">
        <x:v>D09</x:v>
      </x:c>
      <x:c r="B14" s="7" t="str">
        <x:v>Hosting locations</x:v>
      </x:c>
      <x:c r="C14" s="7" t="str">
        <x:v>Buyer-approved processing regions</x:v>
      </x:c>
      <x:c r="D14" s="7" t="str">
        <x:v>Security lead</x:v>
      </x:c>
      <x:c r="E14" s="7" t="str">
        <x:v>G4</x:v>
      </x:c>
      <x:c r="F14" s="7" t="str">
        <x:v>Provider and backup location evidence</x:v>
      </x:c>
      <x:c r="G14" s="10" t="str">
        <x:v>Open</x:v>
      </x:c>
    </x:row>
    <x:row r="15" ht="30" customHeight="1">
      <x:c r="A15" s="8" t="str">
        <x:v>D10</x:v>
      </x:c>
      <x:c r="B15" s="8" t="str">
        <x:v>Device and authentication</x:v>
      </x:c>
      <x:c r="C15" s="8" t="str">
        <x:v>Supported Android with individual accounts</x:v>
      </x:c>
      <x:c r="D15" s="8" t="str">
        <x:v>Operations</x:v>
      </x:c>
      <x:c r="E15" s="8" t="str">
        <x:v>G4</x:v>
      </x:c>
      <x:c r="F15" s="8" t="str">
        <x:v>Device and recovery testing</x:v>
      </x:c>
      <x:c r="G15" s="10" t="str">
        <x:v>Open</x:v>
      </x:c>
    </x:row>
    <x:row r="16" ht="30" customHeight="1">
      <x:c r="A16" s="7" t="str">
        <x:v>D11</x:v>
      </x:c>
      <x:c r="B16" s="7" t="str">
        <x:v>Offline limits</x:v>
      </x:c>
      <x:c r="C16" s="7" t="str">
        <x:v>24 hour lease and 500 MB media allowance</x:v>
      </x:c>
      <x:c r="D16" s="7" t="str">
        <x:v>Privacy and operations</x:v>
      </x:c>
      <x:c r="E16" s="7" t="str">
        <x:v>G4</x:v>
      </x:c>
      <x:c r="F16" s="7" t="str">
        <x:v>Lease and device policy approved</x:v>
      </x:c>
      <x:c r="G16" s="10" t="str">
        <x:v>Open</x:v>
      </x:c>
    </x:row>
    <x:row r="17" ht="30" customHeight="1">
      <x:c r="A17" s="8" t="str">
        <x:v>D12</x:v>
      </x:c>
      <x:c r="B17" s="8" t="str">
        <x:v>Retention</x:v>
      </x:c>
      <x:c r="C17" s="8" t="str">
        <x:v>Per record class and applicable obligation</x:v>
      </x:c>
      <x:c r="D17" s="8" t="str">
        <x:v>Privacy lead</x:v>
      </x:c>
      <x:c r="E17" s="8" t="str">
        <x:v>G4</x:v>
      </x:c>
      <x:c r="F17" s="8" t="str">
        <x:v>Retention schedule and hold process</x:v>
      </x:c>
      <x:c r="G17" s="10" t="str">
        <x:v>Open</x:v>
      </x:c>
    </x:row>
    <x:row r="18" ht="30" customHeight="1">
      <x:c r="A18" s="7" t="str">
        <x:v>D13</x:v>
      </x:c>
      <x:c r="B18" s="7" t="str">
        <x:v>Work to retire</x:v>
      </x:c>
      <x:c r="C18" s="7" t="str">
        <x:v>Duplicate forms and application steps</x:v>
      </x:c>
      <x:c r="D18" s="7" t="str">
        <x:v>Sponsor</x:v>
      </x:c>
      <x:c r="E18" s="7" t="str">
        <x:v>G5</x:v>
      </x:c>
      <x:c r="F18" s="7" t="str">
        <x:v>Buyer approval to retire or reconcile each step</x:v>
      </x:c>
      <x:c r="G18" s="10" t="str">
        <x:v>Open</x:v>
      </x:c>
    </x:row>
    <x:row r="19" ht="30" customHeight="1">
      <x:c r="A19" s="8" t="str">
        <x:v>D14</x:v>
      </x:c>
      <x:c r="B19" s="8" t="str">
        <x:v>Model evidence thresholds</x:v>
      </x:c>
      <x:c r="C19" s="8" t="str">
        <x:v>Per capability and intended local use</x:v>
      </x:c>
      <x:c r="D19" s="8" t="str">
        <x:v>Clinical safety</x:v>
      </x:c>
      <x:c r="E19" s="8" t="str">
        <x:v>G3</x:v>
      </x:c>
      <x:c r="F19" s="8" t="str">
        <x:v>Evaluation plan and accepted results</x:v>
      </x:c>
      <x:c r="G19" s="10" t="str">
        <x:v>Open</x:v>
      </x:c>
    </x:row>
    <x:row r="20" ht="30" customHeight="1">
      <x:c r="A20" s="7" t="str">
        <x:v>D15</x:v>
      </x:c>
      <x:c r="B20" s="7" t="str">
        <x:v>Success measures</x:v>
      </x:c>
      <x:c r="C20" s="7" t="str">
        <x:v>BRD proposed targets</x:v>
      </x:c>
      <x:c r="D20" s="7" t="str">
        <x:v>Product and MEL</x:v>
      </x:c>
      <x:c r="E20" s="7" t="str">
        <x:v>G5</x:v>
      </x:c>
      <x:c r="F20" s="7" t="str">
        <x:v>Baseline method and denominators agreed</x:v>
      </x:c>
      <x:c r="G20" s="10" t="str">
        <x:v>Open</x:v>
      </x:c>
    </x:row>
    <x:row r="21" ht="30" customHeight="1">
      <x:c r="A21" s="8" t="str">
        <x:v>D16</x:v>
      </x:c>
      <x:c r="B21" s="8" t="str">
        <x:v>Pricing and charges</x:v>
      </x:c>
      <x:c r="C21" s="8" t="str">
        <x:v>Deployment recurring and usage charges</x:v>
      </x:c>
      <x:c r="D21" s="8" t="str">
        <x:v>Sponsor</x:v>
      </x:c>
      <x:c r="E21" s="8" t="str">
        <x:v>Commercial scale</x:v>
      </x:c>
      <x:c r="F21" s="8" t="str">
        <x:v>Cost model and price accepted</x:v>
      </x:c>
      <x:c r="G21" s="10" t="str">
        <x:v>Open</x:v>
      </x:c>
    </x:row>
    <x:row r="22" ht="30" customHeight="1">
      <x:c r="A22" s="7" t="str">
        <x:v>D17</x:v>
      </x:c>
      <x:c r="B22" s="7" t="str">
        <x:v>Evaluation sandbox relationship</x:v>
      </x:c>
      <x:c r="C22" s="7" t="str">
        <x:v>Versioned evidence import only</x:v>
      </x:c>
      <x:c r="D22" s="7" t="str">
        <x:v>AI governance</x:v>
      </x:c>
      <x:c r="E22" s="7" t="str">
        <x:v>G3</x:v>
      </x:c>
      <x:c r="F22" s="7" t="str">
        <x:v>Evidence schema and permission contract</x:v>
      </x:c>
      <x:c r="G22" s="10" t="str">
        <x:v>Open</x:v>
      </x:c>
    </x:row>
    <x:row r="23" ht="30" customHeight="1">
      <x:c r="A23" s="8" t="str">
        <x:v>D18</x:v>
      </x:c>
      <x:c r="B23" s="8" t="str">
        <x:v>Patient messaging</x:v>
      </x:c>
      <x:c r="C23" s="8" t="str">
        <x:v>Later scope</x:v>
      </x:c>
      <x:c r="D23" s="8" t="str">
        <x:v>Product and privacy</x:v>
      </x:c>
      <x:c r="E23" s="8" t="str">
        <x:v>R2</x:v>
      </x:c>
      <x:c r="F23" s="8" t="str">
        <x:v>Approved channel and identity/privacy workflow</x:v>
      </x:c>
      <x:c r="G23" s="10" t="str">
        <x:v>Open</x:v>
      </x:c>
    </x:row>
    <x:row r="24" ht="30" customHeight="1">
      <x:c r="A24" s="7" t="str">
        <x:v>D19</x:v>
      </x:c>
      <x:c r="B24" s="7" t="str">
        <x:v>ABDM role and module</x:v>
      </x:c>
      <x:c r="C24" s="7" t="str">
        <x:v>Select explicit ABHA HIP HIU modules</x:v>
      </x:c>
      <x:c r="D24" s="7" t="str">
        <x:v>ABDM owner</x:v>
      </x:c>
      <x:c r="E24" s="7" t="str">
        <x:v>G2</x:v>
      </x:c>
      <x:c r="F24" s="7" t="str">
        <x:v>NHA onboarding and scoped environment evidence</x:v>
      </x:c>
      <x:c r="G24" s="10" t="str">
        <x:v>Open</x:v>
      </x:c>
    </x:row>
    <x:row r="25" ht="30" customHeight="1">
      <x:c r="A25" s="8" t="str">
        <x:v>D20</x:v>
      </x:c>
      <x:c r="B25" s="8" t="str">
        <x:v>Reference EHR</x:v>
      </x:c>
      <x:c r="C25" s="8" t="str">
        <x:v>One owner-authorised system</x:v>
      </x:c>
      <x:c r="D25" s="8" t="str">
        <x:v>Buyer and integration</x:v>
      </x:c>
      <x:c r="E25" s="8" t="str">
        <x:v>G2</x:v>
      </x:c>
      <x:c r="F25" s="8" t="str">
        <x:v>Capability profile and reconciliation proof</x:v>
      </x:c>
      <x:c r="G25" s="10" t="str">
        <x:v>Open</x:v>
      </x:c>
    </x:row>
    <x:row r="26" ht="30" customHeight="1">
      <x:c r="A26" s="7" t="str">
        <x:v>D21</x:v>
      </x:c>
      <x:c r="B26" s="7" t="str">
        <x:v>Exchange standards</x:v>
      </x:c>
      <x:c r="C26" s="7" t="str">
        <x:v>Pin compatible packages and terminology</x:v>
      </x:c>
      <x:c r="D26" s="7" t="str">
        <x:v>Clinical informatics</x:v>
      </x:c>
      <x:c r="E26" s="7" t="str">
        <x:v>G2</x:v>
      </x:c>
      <x:c r="F26" s="7" t="str">
        <x:v>Verified release manifest and profile tests</x:v>
      </x:c>
      <x:c r="G26" s="10" t="str">
        <x:v>Open</x:v>
      </x:c>
    </x:row>
  </x:sheetData>
  <x:mergeCells>
    <x:mergeCell ref="A1:F1"/>
    <x:mergeCell ref="A2:F2"/>
    <x:mergeCell ref="A3:F3"/>
  </x:mergeCells>
  <x:dataValidations count="1">
    <x:dataValidation type="list" sqref="G6:G26">
      <x:formula1>"Open,Accepted,Rejected,Deferred"</x:formula1>
    </x:dataValidation>
  </x:dataValidations>
  <x:pageMargins left="0.7" right="0.7" top="0.75" bottom="0.75" header="0.3" footer="0.3"/>
  <x:tableParts count="1">
    <x:tablePart xmlns:r="http://schemas.openxmlformats.org/officeDocument/2006/relationships" r:id="R7fe79f4adb9040d5"/>
  </x:tableParts>
</x:worksheet>
</file>

<file path=xl/worksheets/sheet12.xml><?xml version="1.0" encoding="utf-8"?>
<x:worksheet xmlns:x="http://schemas.openxmlformats.org/spreadsheetml/2006/main">
  <x:sheetPr>
    <x:tabColor rgb="FFB8852C"/>
  </x:sheetPr>
  <x:sheetViews>
    <x:sheetView showGridLines="0" workbookViewId="0">
      <x:pane xSplit="1" ySplit="5" topLeftCell="B6" activePane="bottomRight" state="frozen"/>
    </x:sheetView>
  </x:sheetViews>
  <x:sheetFormatPr defaultRowHeight="15"/>
  <x:cols>
    <x:col min="1" max="1" width="10" hidden="0" customWidth="1"/>
    <x:col min="2" max="2" width="26.670000076293945" hidden="0" customWidth="1"/>
    <x:col min="3" max="3" width="30" hidden="0" customWidth="1"/>
    <x:col min="4" max="4" width="56.66999816894531" hidden="0" customWidth="1"/>
    <x:col min="5" max="5" width="48.88999938964844" hidden="0" customWidth="1"/>
    <x:col min="6" max="6" width="30" hidden="0" customWidth="1"/>
  </x:cols>
  <x:sheetData>
    <x:row r="1" ht="28.5" customHeight="1">
      <x:c r="A1" s="4" t="str">
        <x:v>Release Gates</x:v>
      </x:c>
      <x:c r="B1" s="4"/>
      <x:c r="C1" s="4"/>
      <x:c r="D1" s="4"/>
      <x:c r="E1" s="4"/>
      <x:c r="F1" s="4"/>
    </x:row>
    <x:row r="2" ht="21" customHeight="1">
      <x:c r="A2" s="3" t="str">
        <x:v>Health AI Orchestration · v1.0 · source BRD v1.1 · proposed baseline · 26 September 2026</x:v>
      </x:c>
      <x:c r="B2" s="3"/>
      <x:c r="C2" s="3"/>
      <x:c r="D2" s="3"/>
      <x:c r="E2" s="3"/>
      <x:c r="F2" s="3"/>
    </x:row>
    <x:row r="3" ht="21" customHeight="1">
      <x:c r="A3" s="3" t="str">
        <x:v>Amber cells are editable execution fields. Add evidence before marking work or tests complete.</x:v>
      </x:c>
      <x:c r="B3" s="3"/>
      <x:c r="C3" s="3"/>
      <x:c r="D3" s="3"/>
      <x:c r="E3" s="3"/>
      <x:c r="F3" s="3"/>
    </x:row>
    <x:row r="4">
      <x:c r="A4" s="3"/>
      <x:c r="B4" s="3"/>
      <x:c r="C4" s="3"/>
      <x:c r="D4" s="3"/>
      <x:c r="E4" s="3"/>
      <x:c r="F4" s="3"/>
    </x:row>
    <x:row r="5" ht="31.5" customHeight="1">
      <x:c r="A5" s="6" t="str">
        <x:v>ID</x:v>
      </x:c>
      <x:c r="B5" s="6" t="str">
        <x:v>Gate</x:v>
      </x:c>
      <x:c r="C5" s="6" t="str">
        <x:v>Accountable role</x:v>
      </x:c>
      <x:c r="D5" s="6" t="str">
        <x:v>Criteria</x:v>
      </x:c>
      <x:c r="E5" s="6" t="str">
        <x:v>Evidence</x:v>
      </x:c>
      <x:c r="F5" s="6" t="str">
        <x:v>Status</x:v>
      </x:c>
    </x:row>
    <x:row r="6" ht="30" customHeight="1">
      <x:c r="A6" s="7" t="str">
        <x:v>G0</x:v>
      </x:c>
      <x:c r="B6" s="7" t="str">
        <x:v>Business baseline</x:v>
      </x:c>
      <x:c r="C6" s="7" t="str">
        <x:v>Sponsor and product owner</x:v>
      </x:c>
      <x:c r="D6" s="7" t="str">
        <x:v>BRD scope and proposed measures accepted</x:v>
      </x:c>
      <x:c r="E6" s="7" t="str">
        <x:v>BRD review record</x:v>
      </x:c>
      <x:c r="F6" s="10" t="str">
        <x:v>Not started</x:v>
      </x:c>
    </x:row>
    <x:row r="7" ht="30" customHeight="1">
      <x:c r="A7" s="8" t="str">
        <x:v>G1</x:v>
      </x:c>
      <x:c r="B7" s="8" t="str">
        <x:v>Workflow readiness</x:v>
      </x:c>
      <x:c r="C7" s="8" t="str">
        <x:v>Programme and clinical owners</x:v>
      </x:c>
      <x:c r="D7" s="8" t="str">
        <x:v>Actual forms, role scope, languages and escalation routes validated</x:v>
      </x:c>
      <x:c r="E7" s="8" t="str">
        <x:v>Observed journey maps and approved pack definitions</x:v>
      </x:c>
      <x:c r="F7" s="10" t="str">
        <x:v>Not started</x:v>
      </x:c>
    </x:row>
    <x:row r="8" ht="35.25" customHeight="1">
      <x:c r="A8" s="7" t="str">
        <x:v>G2</x:v>
      </x:c>
      <x:c r="B8" s="7" t="str">
        <x:v>Integration readiness</x:v>
      </x:c>
      <x:c r="C8" s="7" t="str">
        <x:v>System owners and integration lead</x:v>
      </x:c>
      <x:c r="D8" s="7" t="str">
        <x:v>Two real programme destinations plus selected EHR or ABDM route; exact ABDM scope tested</x:v>
      </x:c>
      <x:c r="E8" s="7" t="str">
        <x:v>Owner-approved receipts, permissions and reconciliation evidence</x:v>
      </x:c>
      <x:c r="F8" s="10" t="str">
        <x:v>Blocked external dependencies</x:v>
      </x:c>
    </x:row>
    <x:row r="9" ht="30" customHeight="1">
      <x:c r="A9" s="8" t="str">
        <x:v>G3</x:v>
      </x:c>
      <x:c r="B9" s="8" t="str">
        <x:v>AI readiness</x:v>
      </x:c>
      <x:c r="C9" s="8" t="str">
        <x:v>AI governance and clinical lead</x:v>
      </x:c>
      <x:c r="D9" s="8" t="str">
        <x:v>Two providers; approved evidence and deployment scope for every live capability</x:v>
      </x:c>
      <x:c r="E9" s="8" t="str">
        <x:v>Version manifests, clinical review and data-use agreement</x:v>
      </x:c>
      <x:c r="F9" s="10" t="str">
        <x:v>Blocked external dependencies</x:v>
      </x:c>
    </x:row>
    <x:row r="10" ht="30" customHeight="1">
      <x:c r="A10" s="7" t="str">
        <x:v>G4</x:v>
      </x:c>
      <x:c r="B10" s="7" t="str">
        <x:v>Production controls</x:v>
      </x:c>
      <x:c r="C10" s="7" t="str">
        <x:v>Security engineering and operations</x:v>
      </x:c>
      <x:c r="D10" s="7" t="str">
        <x:v>Identity isolation audit offline backup restore and incident tests pass</x:v>
      </x:c>
      <x:c r="E10" s="7" t="str">
        <x:v>Independent assessment and executed test evidence</x:v>
      </x:c>
      <x:c r="F10" s="10" t="str">
        <x:v>Not started</x:v>
      </x:c>
    </x:row>
    <x:row r="11" ht="30" customHeight="1">
      <x:c r="A11" s="8" t="str">
        <x:v>G5</x:v>
      </x:c>
      <x:c r="B11" s="8" t="str">
        <x:v>Pilot readiness</x:v>
      </x:c>
      <x:c r="C11" s="8" t="str">
        <x:v>Deployment owner</x:v>
      </x:c>
      <x:c r="D11" s="8" t="str">
        <x:v>Trained cohort, devices, support, baseline and patient-facing material ready</x:v>
      </x:c>
      <x:c r="E11" s="8" t="str">
        <x:v>Site checklist and role competency records</x:v>
      </x:c>
      <x:c r="F11" s="10" t="str">
        <x:v>Not started</x:v>
      </x:c>
    </x:row>
    <x:row r="12" ht="30" customHeight="1">
      <x:c r="A12" s="7" t="str">
        <x:v>G6</x:v>
      </x:c>
      <x:c r="B12" s="7" t="str">
        <x:v>Pilot exit</x:v>
      </x:c>
      <x:c r="C12" s="7" t="str">
        <x:v>Sponsor buyer and clinical owner</x:v>
      </x:c>
      <x:c r="D12" s="7" t="str">
        <x:v>BRD outcomes reported with failures and exclusions; costs and safety reviewed</x:v>
      </x:c>
      <x:c r="E12" s="7" t="str">
        <x:v>Pilot analysis and unresolved issue disposition</x:v>
      </x:c>
      <x:c r="F12" s="10" t="str">
        <x:v>Not started</x:v>
      </x:c>
    </x:row>
    <x:row r="13" ht="30" customHeight="1">
      <x:c r="A13" s="8" t="str">
        <x:v>G7</x:v>
      </x:c>
      <x:c r="B13" s="8" t="str">
        <x:v>Expansion approval</x:v>
      </x:c>
      <x:c r="C13" s="8" t="str">
        <x:v>Buyer and jurisdiction owners</x:v>
      </x:c>
      <x:c r="D13" s="8" t="str">
        <x:v>New population, scale and jurisdiction evidence accepted</x:v>
      </x:c>
      <x:c r="E13" s="8" t="str">
        <x:v>Deployment-specific expansion decision</x:v>
      </x:c>
      <x:c r="F13" s="10" t="str">
        <x:v>Not started</x:v>
      </x:c>
    </x:row>
  </x:sheetData>
  <x:mergeCells>
    <x:mergeCell ref="A1:F1"/>
    <x:mergeCell ref="A2:F2"/>
    <x:mergeCell ref="A3:F3"/>
  </x:mergeCells>
  <x:dataValidations count="1">
    <x:dataValidation type="list" sqref="F6:F13">
      <x:formula1>"Not started,Blocked external dependencies,In review,Accepted,Rejected"</x:formula1>
    </x:dataValidation>
  </x:dataValidations>
  <x:pageMargins left="0.7" right="0.7" top="0.75" bottom="0.75" header="0.3" footer="0.3"/>
  <x:tableParts count="1">
    <x:tablePart xmlns:r="http://schemas.openxmlformats.org/officeDocument/2006/relationships" r:id="Rf4e6af906a2e4a4f"/>
  </x:tableParts>
</x:worksheet>
</file>

<file path=xl/worksheets/sheet13.xml><?xml version="1.0" encoding="utf-8"?>
<x:worksheet xmlns:x="http://schemas.openxmlformats.org/spreadsheetml/2006/main">
  <x:sheetPr>
    <x:tabColor rgb="FF173A50"/>
  </x:sheetPr>
  <x:sheetViews>
    <x:sheetView showGridLines="0" workbookViewId="0">
      <x:pane xSplit="1" ySplit="5" topLeftCell="B6" activePane="bottomRight" state="frozen"/>
    </x:sheetView>
  </x:sheetViews>
  <x:sheetFormatPr defaultRowHeight="15"/>
  <x:cols>
    <x:col min="1" max="1" width="10" hidden="0" customWidth="1"/>
    <x:col min="2" max="2" width="34.439998626708984" hidden="0" customWidth="1"/>
    <x:col min="3" max="3" width="56.66999816894531" hidden="0" customWidth="1"/>
    <x:col min="4" max="4" width="55.560001373291016" hidden="0" customWidth="1"/>
    <x:col min="5" max="5" width="53.33000183105469" hidden="0" customWidth="1"/>
    <x:col min="6" max="6" width="14.4399995803833" hidden="0" customWidth="1"/>
  </x:cols>
  <x:sheetData>
    <x:row r="1" ht="28.5" customHeight="1">
      <x:c r="A1" s="4" t="str">
        <x:v>ADRs</x:v>
      </x:c>
      <x:c r="B1" s="4"/>
      <x:c r="C1" s="4"/>
      <x:c r="D1" s="4"/>
      <x:c r="E1" s="4"/>
      <x:c r="F1" s="4"/>
    </x:row>
    <x:row r="2" ht="21" customHeight="1">
      <x:c r="A2" s="3" t="str">
        <x:v>Health AI Orchestration · v1.0 · source BRD v1.1 · proposed baseline · 26 September 2026</x:v>
      </x:c>
      <x:c r="B2" s="3"/>
      <x:c r="C2" s="3"/>
      <x:c r="D2" s="3"/>
      <x:c r="E2" s="3"/>
      <x:c r="F2" s="3"/>
    </x:row>
    <x:row r="3" ht="21" customHeight="1">
      <x:c r="A3" s="3" t="str">
        <x:v>Controlled design catalogue. Update through the versioned specification review process.</x:v>
      </x:c>
      <x:c r="B3" s="3"/>
      <x:c r="C3" s="3"/>
      <x:c r="D3" s="3"/>
      <x:c r="E3" s="3"/>
      <x:c r="F3" s="3"/>
    </x:row>
    <x:row r="4">
      <x:c r="A4" s="3"/>
      <x:c r="B4" s="3"/>
      <x:c r="C4" s="3"/>
      <x:c r="D4" s="3"/>
      <x:c r="E4" s="3"/>
      <x:c r="F4" s="3"/>
    </x:row>
    <x:row r="5" ht="31.5" customHeight="1">
      <x:c r="A5" s="6" t="str">
        <x:v>ID</x:v>
      </x:c>
      <x:c r="B5" s="6" t="str">
        <x:v>Decision</x:v>
      </x:c>
      <x:c r="C5" s="6" t="str">
        <x:v>Selected baseline</x:v>
      </x:c>
      <x:c r="D5" s="6" t="str">
        <x:v>Reason</x:v>
      </x:c>
      <x:c r="E5" s="6" t="str">
        <x:v>Consequence</x:v>
      </x:c>
      <x:c r="F5" s="6" t="str">
        <x:v>Status</x:v>
      </x:c>
    </x:row>
    <x:row r="6" ht="30" customHeight="1">
      <x:c r="A6" s="7" t="str">
        <x:v>ADR01</x:v>
      </x:c>
      <x:c r="B6" s="7" t="str">
        <x:v>One encounter workspace</x:v>
      </x:c>
      <x:c r="C6" s="7" t="str">
        <x:v>Use a task-centred mobile flow with person and encounter context fixed</x:v>
      </x:c>
      <x:c r="D6" s="7" t="str">
        <x:v>Workers reuse facts across programmes; distinct patient records remain isolated</x:v>
      </x:c>
      <x:c r="E6" s="7" t="str">
        <x:v>UI widgets and question packs require usability validation</x:v>
      </x:c>
      <x:c r="F6" s="7" t="str">
        <x:v>Proposed</x:v>
      </x:c>
    </x:row>
    <x:row r="7" ht="30" customHeight="1">
      <x:c r="A7" s="8" t="str">
        <x:v>ADR02</x:v>
      </x:c>
      <x:c r="B7" s="8" t="str">
        <x:v>Modular server and durable workers</x:v>
      </x:c>
      <x:c r="C7" s="8" t="str">
        <x:v>Start with a modular service and database-backed outbox workers</x:v>
      </x:c>
      <x:c r="D7" s="8" t="str">
        <x:v>Reduces cross-service failure modes while preserving clear component contracts</x:v>
      </x:c>
      <x:c r="E7" s="8" t="str">
        <x:v>Split components only when measured scale or custody requires it</x:v>
      </x:c>
      <x:c r="F7" s="8" t="str">
        <x:v>Proposed</x:v>
      </x:c>
    </x:row>
    <x:row r="8" ht="30" customHeight="1">
      <x:c r="A8" s="7" t="str">
        <x:v>ADR03</x:v>
      </x:c>
      <x:c r="B8" s="7" t="str">
        <x:v>Canonical operational model</x:v>
      </x:c>
      <x:c r="C8" s="7" t="str">
        <x:v>Persist typed operational entities and transform at adapter boundaries</x:v>
      </x:c>
      <x:c r="D8" s="7" t="str">
        <x:v>Shared facts retain provenance while destinations keep independent schemas</x:v>
      </x:c>
      <x:c r="E8" s="7" t="str">
        <x:v>Canonical shape is not itself an ABDM clinical document</x:v>
      </x:c>
      <x:c r="F8" s="7" t="str">
        <x:v>Proposed</x:v>
      </x:c>
    </x:row>
    <x:row r="9" ht="35.25" customHeight="1">
      <x:c r="A9" s="8" t="str">
        <x:v>ADR04</x:v>
      </x:c>
      <x:c r="B9" s="8" t="str">
        <x:v>Native field client</x:v>
      </x:c>
      <x:c r="C9" s="8" t="str">
        <x:v>Use an Android reference client with encrypted local storage and keystore wrapping</x:v>
      </x:c>
      <x:c r="D9" s="8" t="str">
        <x:v>Offline lease and media recovery require controlled device behaviour</x:v>
      </x:c>
      <x:c r="E9" s="8" t="str">
        <x:v>Web admin supports online work; browser storage is not the default clinical offline store</x:v>
      </x:c>
      <x:c r="F9" s="8" t="str">
        <x:v>Proposed</x:v>
      </x:c>
    </x:row>
    <x:row r="10" ht="30" customHeight="1">
      <x:c r="A10" s="7" t="str">
        <x:v>ADR05</x:v>
      </x:c>
      <x:c r="B10" s="7" t="str">
        <x:v>Bounded planner</x:v>
      </x:c>
      <x:c r="C10" s="7" t="str">
        <x:v>Separate model planning from deterministic execution and policy</x:v>
      </x:c>
      <x:c r="D10" s="7" t="str">
        <x:v>Tool outputs and retrieved records cannot grant authority</x:v>
      </x:c>
      <x:c r="E10" s="7" t="str">
        <x:v>Model vendor selected through performance privacy and cost review</x:v>
      </x:c>
      <x:c r="F10" s="7" t="str">
        <x:v>Proposed</x:v>
      </x:c>
    </x:row>
    <x:row r="11" ht="30" customHeight="1">
      <x:c r="A11" s="8" t="str">
        <x:v>ADR06</x:v>
      </x:c>
      <x:c r="B11" s="8" t="str">
        <x:v>Independent destination actions</x:v>
      </x:c>
      <x:c r="C11" s="8" t="str">
        <x:v>Use saga-style recovery and evidence-based reconciliation</x:v>
      </x:c>
      <x:c r="D11" s="8" t="str">
        <x:v>No global atomic commit exists across unrelated programme systems</x:v>
      </x:c>
      <x:c r="E11" s="8" t="str">
        <x:v>Uncertain results need lookup or manual resolution before retry</x:v>
      </x:c>
      <x:c r="F11" s="8" t="str">
        <x:v>Proposed</x:v>
      </x:c>
    </x:row>
    <x:row r="12" ht="30" customHeight="1">
      <x:c r="A12" s="7" t="str">
        <x:v>ADR07</x:v>
      </x:c>
      <x:c r="B12" s="7" t="str">
        <x:v>Immutable confirmed revisions</x:v>
      </x:c>
      <x:c r="C12" s="7" t="str">
        <x:v>Use append-only clinical fact revisions and approval hashes</x:v>
      </x:c>
      <x:c r="D12" s="7" t="str">
        <x:v>Corrections remain attributable and invalidate affected work</x:v>
      </x:c>
      <x:c r="E12" s="7" t="str">
        <x:v>Storage and retention policy must cover original and corrected versions</x:v>
      </x:c>
      <x:c r="F12" s="7" t="str">
        <x:v>Proposed</x:v>
      </x:c>
    </x:row>
    <x:row r="13" ht="30" customHeight="1">
      <x:c r="A13" s="8" t="str">
        <x:v>ADR08</x:v>
      </x:c>
      <x:c r="B13" s="8" t="str">
        <x:v>Versioned capability activation</x:v>
      </x:c>
      <x:c r="C13" s="8" t="str">
        <x:v>Activate provider and model version per deployment and scope</x:v>
      </x:c>
      <x:c r="D13" s="8" t="str">
        <x:v>Evidence and local permission differ from a successful API test</x:v>
      </x:c>
      <x:c r="E13" s="8" t="str">
        <x:v>Substitution requires equivalent approved intended use</x:v>
      </x:c>
      <x:c r="F13" s="8" t="str">
        <x:v>Proposed</x:v>
      </x:c>
    </x:row>
    <x:row r="14" ht="30" customHeight="1">
      <x:c r="A14" s="7" t="str">
        <x:v>ADR09</x:v>
      </x:c>
      <x:c r="B14" s="7" t="str">
        <x:v>Explicit exchange scope</x:v>
      </x:c>
      <x:c r="C14" s="7" t="str">
        <x:v>Implement ABDM and direct EHR as separate connector types</x:v>
      </x:c>
      <x:c r="D14" s="7" t="str">
        <x:v>Consent or API availability does not grant universal records access</x:v>
      </x:c>
      <x:c r="E14" s="7" t="str">
        <x:v>Exact external contracts stay blocked until owner verification</x:v>
      </x:c>
      <x:c r="F14" s="7" t="str">
        <x:v>Proposed</x:v>
      </x:c>
    </x:row>
    <x:row r="15" ht="30" customHeight="1">
      <x:c r="A15" s="8" t="str">
        <x:v>ADR10</x:v>
      </x:c>
      <x:c r="B15" s="8" t="str">
        <x:v>Defence in depth authorisation</x:v>
      </x:c>
      <x:c r="C15" s="8" t="str">
        <x:v>Use service policy and tenant RLS with separate runtime roles</x:v>
      </x:c>
      <x:c r="D15" s="8" t="str">
        <x:v>Prevents client scope selection and catches tenant query errors</x:v>
      </x:c>
      <x:c r="E15" s="8" t="str">
        <x:v>Tenant RLS does not replace patient relationship and purpose checks</x:v>
      </x:c>
      <x:c r="F15" s="8" t="str">
        <x:v>Proposed</x:v>
      </x:c>
    </x:row>
    <x:row r="16" ht="30" customHeight="1">
      <x:c r="A16" s="7" t="str">
        <x:v>ADR11</x:v>
      </x:c>
      <x:c r="B16" s="7" t="str">
        <x:v>Operational metrics projection</x:v>
      </x:c>
      <x:c r="C16" s="7" t="str">
        <x:v>Build controlled report projections from versioned domain events</x:v>
      </x:c>
      <x:c r="D16" s="7" t="str">
        <x:v>Queries can disclose source completeness and avoid double counting</x:v>
      </x:c>
      <x:c r="E16" s="7" t="str">
        <x:v>Late records require reproducible metric revision</x:v>
      </x:c>
      <x:c r="F16" s="7" t="str">
        <x:v>Proposed</x:v>
      </x:c>
    </x:row>
    <x:row r="17" ht="30" customHeight="1">
      <x:c r="A17" s="8" t="str">
        <x:v>ADR12</x:v>
      </x:c>
      <x:c r="B17" s="8" t="str">
        <x:v>Explicit synthetic environment</x:v>
      </x:c>
      <x:c r="C17" s="8" t="str">
        <x:v>Simulators emit mode and source markers and use isolated fixtures</x:v>
      </x:c>
      <x:c r="D17" s="8" t="str">
        <x:v>Development can exercise failures before partner credentials exist</x:v>
      </x:c>
      <x:c r="E17" s="8" t="str">
        <x:v>Simulation evidence cannot pass live connector or clinical validation gates</x:v>
      </x:c>
      <x:c r="F17" s="8" t="str">
        <x:v>Proposed</x:v>
      </x:c>
    </x:row>
  </x:sheetData>
  <x:mergeCells>
    <x:mergeCell ref="A1:F1"/>
    <x:mergeCell ref="A2:F2"/>
    <x:mergeCell ref="A3:F3"/>
  </x:mergeCells>
  <x:pageMargins left="0.7" right="0.7" top="0.75" bottom="0.75" header="0.3" footer="0.3"/>
  <x:tableParts count="1">
    <x:tablePart xmlns:r="http://schemas.openxmlformats.org/officeDocument/2006/relationships" r:id="Rbc785deaff9041b5"/>
  </x:tableParts>
</x:worksheet>
</file>